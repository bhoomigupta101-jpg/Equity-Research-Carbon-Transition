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35"/>
  </bookViews>
  <sheets>
    <sheet name="Dashboard" sheetId="18" r:id="rId1"/>
    <sheet name="DashboardData" sheetId="11" r:id="rId2"/>
    <sheet name="README" sheetId="16" r:id="rId3"/>
    <sheet name="Investment Recommendation" sheetId="17" r:id="rId4"/>
    <sheet name="Stress_Scenario" sheetId="10" r:id="rId5"/>
    <sheet name="Valuation_Impact" sheetId="8" r:id="rId6"/>
    <sheet name="Carbon_Risk_Engine" sheetId="7" r:id="rId7"/>
    <sheet name="Company_Data" sheetId="6" r:id="rId8"/>
    <sheet name="Assumptions" sheetId="5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7" l="1"/>
  <c r="D6" i="17"/>
  <c r="D7" i="17"/>
  <c r="D8" i="17"/>
  <c r="D9" i="17"/>
  <c r="D3" i="17"/>
  <c r="D4" i="17"/>
  <c r="D10" i="17"/>
  <c r="D11" i="17"/>
  <c r="G6" i="8"/>
  <c r="G7" i="8"/>
  <c r="G8" i="8"/>
  <c r="G9" i="8"/>
  <c r="G10" i="8"/>
  <c r="G5" i="8"/>
  <c r="G4" i="8"/>
  <c r="G11" i="8"/>
  <c r="G3" i="8"/>
  <c r="J31" i="18"/>
  <c r="I31" i="18"/>
  <c r="J30" i="18"/>
  <c r="I30" i="18"/>
  <c r="J29" i="18"/>
  <c r="I29" i="18"/>
  <c r="J28" i="18"/>
  <c r="I28" i="18"/>
  <c r="J27" i="18"/>
  <c r="I27" i="18"/>
  <c r="J26" i="18"/>
  <c r="I26" i="18"/>
  <c r="J25" i="18"/>
  <c r="I25" i="18"/>
  <c r="J24" i="18"/>
  <c r="I24" i="18"/>
  <c r="J23" i="18"/>
  <c r="I23" i="18"/>
  <c r="J22" i="18"/>
  <c r="I22" i="18"/>
  <c r="B5" i="18"/>
  <c r="D1" i="17" l="1"/>
  <c r="C1" i="17"/>
  <c r="B2" i="17"/>
  <c r="B3" i="17"/>
  <c r="B4" i="17"/>
  <c r="B5" i="17"/>
  <c r="B6" i="17"/>
  <c r="B7" i="17"/>
  <c r="B8" i="17"/>
  <c r="B9" i="17"/>
  <c r="B10" i="17"/>
  <c r="B11" i="17"/>
  <c r="B1" i="17"/>
  <c r="A2" i="17"/>
  <c r="A3" i="17"/>
  <c r="A4" i="17"/>
  <c r="A5" i="17"/>
  <c r="A6" i="17"/>
  <c r="A7" i="17"/>
  <c r="A8" i="17"/>
  <c r="A9" i="17"/>
  <c r="A10" i="17"/>
  <c r="A11" i="17"/>
  <c r="A1" i="17"/>
  <c r="B13" i="11"/>
  <c r="B14" i="11"/>
  <c r="B15" i="11"/>
  <c r="B16" i="11"/>
  <c r="B17" i="11"/>
  <c r="B18" i="11"/>
  <c r="B19" i="11"/>
  <c r="B20" i="11"/>
  <c r="B21" i="11"/>
  <c r="B12" i="11"/>
  <c r="B2" i="11"/>
  <c r="A13" i="11"/>
  <c r="F13" i="11" s="1"/>
  <c r="A14" i="11"/>
  <c r="F14" i="11" s="1"/>
  <c r="A15" i="11"/>
  <c r="E15" i="11" s="1"/>
  <c r="A16" i="11"/>
  <c r="D16" i="11" s="1"/>
  <c r="A17" i="11"/>
  <c r="F17" i="11" s="1"/>
  <c r="A18" i="11"/>
  <c r="F18" i="11" s="1"/>
  <c r="A19" i="11"/>
  <c r="E19" i="11" s="1"/>
  <c r="A20" i="11"/>
  <c r="D20" i="11" s="1"/>
  <c r="A21" i="11"/>
  <c r="F21" i="11" s="1"/>
  <c r="A12" i="11"/>
  <c r="D12" i="11" s="1"/>
  <c r="A2" i="11"/>
  <c r="B3" i="11"/>
  <c r="B4" i="11"/>
  <c r="B5" i="11"/>
  <c r="B6" i="11"/>
  <c r="B7" i="11"/>
  <c r="B8" i="11"/>
  <c r="B9" i="11"/>
  <c r="B10" i="11"/>
  <c r="B11" i="11"/>
  <c r="A3" i="11"/>
  <c r="A4" i="11"/>
  <c r="A5" i="11"/>
  <c r="A6" i="11"/>
  <c r="A7" i="11"/>
  <c r="A8" i="11"/>
  <c r="A9" i="11"/>
  <c r="A10" i="11"/>
  <c r="A11" i="11"/>
  <c r="E14" i="11" l="1"/>
  <c r="F20" i="11"/>
  <c r="E12" i="11"/>
  <c r="F16" i="11"/>
  <c r="E18" i="11"/>
  <c r="D18" i="11"/>
  <c r="D14" i="11"/>
  <c r="E21" i="11"/>
  <c r="E17" i="11"/>
  <c r="E13" i="11"/>
  <c r="F19" i="11"/>
  <c r="F15" i="11"/>
  <c r="D19" i="11"/>
  <c r="D15" i="11"/>
  <c r="D21" i="11"/>
  <c r="D17" i="11"/>
  <c r="D13" i="11"/>
  <c r="E20" i="11"/>
  <c r="E16" i="11"/>
  <c r="F12" i="11"/>
  <c r="G3" i="10"/>
  <c r="G4" i="10"/>
  <c r="G5" i="10"/>
  <c r="G6" i="10"/>
  <c r="G7" i="10"/>
  <c r="G8" i="10"/>
  <c r="G9" i="10"/>
  <c r="G10" i="10"/>
  <c r="G11" i="10"/>
  <c r="G2" i="10"/>
  <c r="F3" i="10"/>
  <c r="F4" i="10"/>
  <c r="F5" i="10"/>
  <c r="F6" i="10"/>
  <c r="F7" i="10"/>
  <c r="F8" i="10"/>
  <c r="F9" i="10"/>
  <c r="F10" i="10"/>
  <c r="F11" i="10"/>
  <c r="F2" i="10"/>
  <c r="E3" i="10"/>
  <c r="E4" i="10"/>
  <c r="E5" i="10"/>
  <c r="E6" i="10"/>
  <c r="E7" i="10"/>
  <c r="E8" i="10"/>
  <c r="E9" i="10"/>
  <c r="E10" i="10"/>
  <c r="E11" i="10"/>
  <c r="E2" i="10"/>
  <c r="D2" i="10"/>
  <c r="D3" i="10"/>
  <c r="D4" i="10"/>
  <c r="D5" i="10"/>
  <c r="D6" i="10"/>
  <c r="D7" i="10"/>
  <c r="D8" i="10"/>
  <c r="D9" i="10"/>
  <c r="D10" i="10"/>
  <c r="D11" i="10"/>
  <c r="C3" i="10"/>
  <c r="C4" i="10"/>
  <c r="C5" i="10"/>
  <c r="C6" i="10"/>
  <c r="C7" i="10"/>
  <c r="C8" i="10"/>
  <c r="C9" i="10"/>
  <c r="C10" i="10"/>
  <c r="C11" i="10"/>
  <c r="C2" i="10"/>
  <c r="B3" i="10"/>
  <c r="B4" i="10"/>
  <c r="B5" i="10"/>
  <c r="B6" i="10"/>
  <c r="B7" i="10"/>
  <c r="B8" i="10"/>
  <c r="B9" i="10"/>
  <c r="B10" i="10"/>
  <c r="B11" i="10"/>
  <c r="B2" i="10"/>
  <c r="A2" i="10"/>
  <c r="A3" i="10"/>
  <c r="A4" i="10"/>
  <c r="A5" i="10"/>
  <c r="A6" i="10"/>
  <c r="A7" i="10"/>
  <c r="A8" i="10"/>
  <c r="A9" i="10"/>
  <c r="A10" i="10"/>
  <c r="A11" i="10"/>
  <c r="A1" i="10"/>
  <c r="D3" i="8"/>
  <c r="D4" i="8"/>
  <c r="D5" i="8"/>
  <c r="D6" i="8"/>
  <c r="D7" i="8"/>
  <c r="D8" i="8"/>
  <c r="D9" i="8"/>
  <c r="D10" i="8"/>
  <c r="D11" i="8"/>
  <c r="D2" i="8"/>
  <c r="E3" i="7"/>
  <c r="E4" i="7"/>
  <c r="E5" i="7"/>
  <c r="E6" i="7"/>
  <c r="E7" i="7"/>
  <c r="E8" i="7"/>
  <c r="E9" i="7"/>
  <c r="E10" i="7"/>
  <c r="E11" i="7"/>
  <c r="E2" i="7"/>
  <c r="C4" i="7"/>
  <c r="I4" i="7" s="1"/>
  <c r="C5" i="7"/>
  <c r="I5" i="7" s="1"/>
  <c r="C8" i="7"/>
  <c r="I8" i="7" s="1"/>
  <c r="C9" i="7"/>
  <c r="I9" i="7" s="1"/>
  <c r="C2" i="7"/>
  <c r="I2" i="7" s="1"/>
  <c r="B3" i="7"/>
  <c r="C3" i="7" s="1"/>
  <c r="I3" i="7" s="1"/>
  <c r="B4" i="7"/>
  <c r="B5" i="7"/>
  <c r="B6" i="7"/>
  <c r="C6" i="7" s="1"/>
  <c r="I6" i="7" s="1"/>
  <c r="B7" i="7"/>
  <c r="C7" i="7" s="1"/>
  <c r="I7" i="7" s="1"/>
  <c r="B8" i="7"/>
  <c r="B9" i="7"/>
  <c r="B10" i="7"/>
  <c r="C10" i="7" s="1"/>
  <c r="I10" i="7" s="1"/>
  <c r="B11" i="7"/>
  <c r="C11" i="7" s="1"/>
  <c r="I11" i="7" s="1"/>
  <c r="B2" i="7"/>
  <c r="A1" i="8"/>
  <c r="A2" i="8"/>
  <c r="A3" i="8"/>
  <c r="A4" i="8"/>
  <c r="A5" i="8"/>
  <c r="A6" i="8"/>
  <c r="A7" i="8"/>
  <c r="A8" i="8"/>
  <c r="A9" i="8"/>
  <c r="A10" i="8"/>
  <c r="A11" i="8"/>
  <c r="A2" i="7"/>
  <c r="A3" i="7"/>
  <c r="A4" i="7"/>
  <c r="A5" i="7"/>
  <c r="A6" i="7"/>
  <c r="A7" i="7"/>
  <c r="A8" i="7"/>
  <c r="A9" i="7"/>
  <c r="A10" i="7"/>
  <c r="A11" i="7"/>
  <c r="D11" i="7" l="1"/>
  <c r="G11" i="7" s="1"/>
  <c r="H11" i="7" s="1"/>
  <c r="F11" i="11" s="1"/>
  <c r="D7" i="7"/>
  <c r="G7" i="7" s="1"/>
  <c r="H7" i="7" s="1"/>
  <c r="F7" i="11" s="1"/>
  <c r="D3" i="7"/>
  <c r="G3" i="7" s="1"/>
  <c r="H3" i="7" s="1"/>
  <c r="F3" i="11" s="1"/>
  <c r="D10" i="7"/>
  <c r="F10" i="7" s="1"/>
  <c r="D6" i="7"/>
  <c r="G6" i="7" s="1"/>
  <c r="H6" i="7" s="1"/>
  <c r="F6" i="11" s="1"/>
  <c r="D9" i="7"/>
  <c r="G9" i="7" s="1"/>
  <c r="H9" i="7" s="1"/>
  <c r="F9" i="11" s="1"/>
  <c r="D5" i="7"/>
  <c r="F5" i="7" s="1"/>
  <c r="D2" i="7"/>
  <c r="G2" i="7" s="1"/>
  <c r="H2" i="7" s="1"/>
  <c r="F2" i="11" s="1"/>
  <c r="D8" i="7"/>
  <c r="G8" i="7" s="1"/>
  <c r="H8" i="7" s="1"/>
  <c r="F8" i="11" s="1"/>
  <c r="D4" i="7"/>
  <c r="G4" i="7" s="1"/>
  <c r="H4" i="7" s="1"/>
  <c r="F4" i="11" s="1"/>
  <c r="F3" i="7"/>
  <c r="F4" i="7" l="1"/>
  <c r="F6" i="7"/>
  <c r="G10" i="7"/>
  <c r="H10" i="7" s="1"/>
  <c r="F10" i="11" s="1"/>
  <c r="F8" i="7"/>
  <c r="F11" i="7"/>
  <c r="J4" i="7"/>
  <c r="B4" i="8" s="1"/>
  <c r="J7" i="7"/>
  <c r="B7" i="8" s="1"/>
  <c r="J9" i="7"/>
  <c r="B9" i="8" s="1"/>
  <c r="J11" i="7"/>
  <c r="B11" i="8" s="1"/>
  <c r="J8" i="7"/>
  <c r="B8" i="8" s="1"/>
  <c r="J6" i="7"/>
  <c r="B6" i="8" s="1"/>
  <c r="J3" i="7"/>
  <c r="B3" i="8" s="1"/>
  <c r="J2" i="7"/>
  <c r="B2" i="8" s="1"/>
  <c r="F7" i="7"/>
  <c r="G5" i="7"/>
  <c r="H5" i="7" s="1"/>
  <c r="F5" i="11" s="1"/>
  <c r="F9" i="7"/>
  <c r="F2" i="7"/>
  <c r="J10" i="7" l="1"/>
  <c r="B10" i="8" s="1"/>
  <c r="C10" i="8" s="1"/>
  <c r="F10" i="8" s="1"/>
  <c r="C2" i="8"/>
  <c r="D2" i="11"/>
  <c r="C8" i="8"/>
  <c r="D8" i="11"/>
  <c r="D10" i="11"/>
  <c r="C3" i="8"/>
  <c r="D3" i="11"/>
  <c r="C11" i="8"/>
  <c r="D11" i="11"/>
  <c r="C4" i="8"/>
  <c r="D4" i="11"/>
  <c r="C9" i="8"/>
  <c r="F9" i="8" s="1"/>
  <c r="D9" i="11"/>
  <c r="C6" i="8"/>
  <c r="D6" i="11"/>
  <c r="C7" i="8"/>
  <c r="D7" i="11"/>
  <c r="J5" i="7"/>
  <c r="B5" i="8" s="1"/>
  <c r="G10" i="11" l="1"/>
  <c r="C10" i="17"/>
  <c r="C9" i="17"/>
  <c r="G9" i="11"/>
  <c r="E6" i="8"/>
  <c r="E6" i="11"/>
  <c r="F4" i="8"/>
  <c r="E4" i="11"/>
  <c r="E4" i="8"/>
  <c r="E3" i="11"/>
  <c r="F3" i="8"/>
  <c r="E3" i="8"/>
  <c r="F8" i="8"/>
  <c r="E8" i="11"/>
  <c r="E8" i="8"/>
  <c r="F6" i="8"/>
  <c r="C5" i="8"/>
  <c r="D5" i="11"/>
  <c r="F7" i="8"/>
  <c r="E7" i="11"/>
  <c r="E7" i="8"/>
  <c r="E9" i="8"/>
  <c r="E9" i="11"/>
  <c r="F11" i="8"/>
  <c r="E11" i="11"/>
  <c r="E11" i="8"/>
  <c r="E10" i="8"/>
  <c r="E10" i="11"/>
  <c r="F2" i="8"/>
  <c r="E2" i="11"/>
  <c r="E2" i="8"/>
  <c r="G2" i="8" l="1"/>
  <c r="D2" i="17" s="1"/>
  <c r="G2" i="11"/>
  <c r="C2" i="17"/>
  <c r="F5" i="8"/>
  <c r="E5" i="11"/>
  <c r="E5" i="8"/>
  <c r="C11" i="17"/>
  <c r="G11" i="11"/>
  <c r="C8" i="17"/>
  <c r="G8" i="11"/>
  <c r="C7" i="17"/>
  <c r="G7" i="11"/>
  <c r="G6" i="11"/>
  <c r="C6" i="17"/>
  <c r="C3" i="17"/>
  <c r="G3" i="11"/>
  <c r="C4" i="17"/>
  <c r="G4" i="11"/>
  <c r="C5" i="17" l="1"/>
  <c r="G5" i="11"/>
  <c r="H5" i="18" l="1"/>
  <c r="K24" i="18" l="1"/>
  <c r="K30" i="18"/>
  <c r="K28" i="18"/>
  <c r="K31" i="18"/>
  <c r="L22" i="18" l="1"/>
  <c r="L26" i="18"/>
  <c r="K26" i="18"/>
  <c r="K22" i="18"/>
  <c r="K27" i="18"/>
  <c r="K23" i="18"/>
  <c r="K25" i="18"/>
  <c r="K29" i="18"/>
  <c r="L30" i="18" l="1"/>
  <c r="L28" i="18"/>
  <c r="L27" i="18"/>
  <c r="L29" i="18"/>
  <c r="L25" i="18"/>
  <c r="L31" i="18"/>
  <c r="L24" i="18"/>
  <c r="L23" i="18"/>
  <c r="F5" i="18"/>
  <c r="D5" i="18" s="1"/>
</calcChain>
</file>

<file path=xl/sharedStrings.xml><?xml version="1.0" encoding="utf-8"?>
<sst xmlns="http://schemas.openxmlformats.org/spreadsheetml/2006/main" count="135" uniqueCount="99">
  <si>
    <t>EU CBAM Benchmark</t>
  </si>
  <si>
    <t>Transition Capex</t>
  </si>
  <si>
    <t>Cost Pass-Through</t>
  </si>
  <si>
    <t>EU Carbon Price</t>
  </si>
  <si>
    <t>Parameter</t>
  </si>
  <si>
    <t>Austria</t>
  </si>
  <si>
    <t>Voestalpine</t>
  </si>
  <si>
    <t>Germany</t>
  </si>
  <si>
    <t>Thyssenkrupp</t>
  </si>
  <si>
    <t>India</t>
  </si>
  <si>
    <t>JSW Steel</t>
  </si>
  <si>
    <t>Tata Steel</t>
  </si>
  <si>
    <t>Japan</t>
  </si>
  <si>
    <t>Nippon Steel</t>
  </si>
  <si>
    <t>South Korea</t>
  </si>
  <si>
    <t>POSCO</t>
  </si>
  <si>
    <t>China</t>
  </si>
  <si>
    <t>Baowu Steel</t>
  </si>
  <si>
    <t>Europe/Global</t>
  </si>
  <si>
    <t>ArcelorMittal</t>
  </si>
  <si>
    <t>USA</t>
  </si>
  <si>
    <t>Steel Dynamics</t>
  </si>
  <si>
    <t>Nucor</t>
  </si>
  <si>
    <t>EU Exports (Mt)</t>
  </si>
  <si>
    <t>Revenue ($B)</t>
  </si>
  <si>
    <t>Emission Intensity (tCO₂/t steel)</t>
  </si>
  <si>
    <t>BF-BOF Share %</t>
  </si>
  <si>
    <t>EAF Share %</t>
  </si>
  <si>
    <t>Production (Mt)</t>
  </si>
  <si>
    <t>Region</t>
  </si>
  <si>
    <t>Company</t>
  </si>
  <si>
    <t>Total Emission (Mt)</t>
  </si>
  <si>
    <t>Investment Rec.</t>
  </si>
  <si>
    <t>Margin Erosion %</t>
  </si>
  <si>
    <t>Adjusted EBITDA</t>
  </si>
  <si>
    <t>Base Carbon Price</t>
  </si>
  <si>
    <t>Strategic Outlook</t>
  </si>
  <si>
    <t>Transition Capex Requried</t>
  </si>
  <si>
    <t>Production Route</t>
  </si>
  <si>
    <t>Realistic Intensity Range</t>
  </si>
  <si>
    <t>Primary User Examples</t>
  </si>
  <si>
    <t>Scrap-EAF</t>
  </si>
  <si>
    <t>0.35 – 0.70</t>
  </si>
  <si>
    <t>1.20 – 1.60</t>
  </si>
  <si>
    <t>Cleveland-Cliffs (mixed), Midrex users</t>
  </si>
  <si>
    <t>2.10 – 2.40</t>
  </si>
  <si>
    <t>1.70 – 1.95</t>
  </si>
  <si>
    <t>Nucor (0.43), Steel Dynamics</t>
  </si>
  <si>
    <t>DRI-EAF (Gas)</t>
  </si>
  <si>
    <t>BF-BOF (Coal)</t>
  </si>
  <si>
    <t>Tata Steel (2.22), Baowu (2.30)</t>
  </si>
  <si>
    <t>BF-BOF (EU)</t>
  </si>
  <si>
    <t>ArcelorMittal (1.75), Thyssenkrupp</t>
  </si>
  <si>
    <t xml:space="preserve"> Base EBITDA ($B)</t>
  </si>
  <si>
    <t>CBAM Deadline</t>
  </si>
  <si>
    <t>EU CBAM Liability ($B)</t>
  </si>
  <si>
    <t>Domestic Carbon Cost ($B)</t>
  </si>
  <si>
    <t>Net Compliance Cost ($B)</t>
  </si>
  <si>
    <t xml:space="preserve">ESG Rating </t>
  </si>
  <si>
    <t>Gross Carbon Cost ($M)</t>
  </si>
  <si>
    <t>Pass-through Benefit ($M)</t>
  </si>
  <si>
    <t>Carbon Mitigation ($B)</t>
  </si>
  <si>
    <t>Final Net Compliance Cost ($B)</t>
  </si>
  <si>
    <t>Steel Cost Cost ($B)</t>
  </si>
  <si>
    <t>Pass-through ($B)</t>
  </si>
  <si>
    <t>Stress Mitigation ($B)</t>
  </si>
  <si>
    <t>Stress Compliance Cost ($B)</t>
  </si>
  <si>
    <t>Stress Adjusted EBITDA</t>
  </si>
  <si>
    <t>Stress Erosion %</t>
  </si>
  <si>
    <t>Mitigation Rate (%)</t>
  </si>
  <si>
    <t>Scenario</t>
  </si>
  <si>
    <t>Adj. EBITDA</t>
  </si>
  <si>
    <t>Erosion %</t>
  </si>
  <si>
    <t>Base Case</t>
  </si>
  <si>
    <t>Stress Case</t>
  </si>
  <si>
    <t>CCC</t>
  </si>
  <si>
    <t>Total Carbon Cost ($B)</t>
  </si>
  <si>
    <t xml:space="preserve"> </t>
  </si>
  <si>
    <t>Professional Investment Thesis</t>
  </si>
  <si>
    <t>Primary beneficiary of the low-carbon transition. With a 100% EAF share and best-in-class intensity (0.43 tCO2/t), Nucor is effectively 'future-proofed' against carbon taxes, allowing for significant market share capture as competitors' margins erode.</t>
  </si>
  <si>
    <t>Primary beneficiary of the low-carbon transition. With a 100% EAF share and best-in-class intensity (0.5 tCO2/t), Steel Dynamics is effectively 'future-proofed' against carbon taxes, allowing for significant market share capture as competitors' margins erode.</t>
  </si>
  <si>
    <t>Operational efficiency is high, but heavy reliance on traditional BF-BOF routes in Europe/Global creates a transition bottleneck. While currently stable, ArcelorMittal requires an estimated $34.8B in green capex to avoid long-term structural margin compression (&gt; 29.1%).</t>
  </si>
  <si>
    <t>High-risk exposure to intensifying carbon regulations. With a carbon intensity of 2.1 tCO2/t, Baowu Steel faces a terminal threat to profitability, with base-case margin erosion exceeding 37.1%. The lack of aggressive H2-DRI transition plans makes the current valuation unsustainable.</t>
  </si>
  <si>
    <t>Operational efficiency is high, but heavy reliance on traditional BF-BOF routes in South Korea creates a transition bottleneck. While currently stable, POSCO requires an estimated $25.2B in green capex to avoid long-term structural margin compression (&gt; 25.3%).</t>
  </si>
  <si>
    <t>Operational efficiency is high, but heavy reliance on traditional BF-BOF routes in Japan creates a transition bottleneck. While currently stable, Nippon Steel requires an estimated $26.4B in green capex to avoid long-term structural margin compression (&gt; 29.9%).</t>
  </si>
  <si>
    <t>High-risk exposure to intensifying carbon regulations. With a carbon intensity of 2.22 tCO2/t, Tata Steel faces a terminal threat to profitability, with base-case margin erosion exceeding 38.2%. The lack of aggressive H2-DRI transition plans makes the current valuation unsustainable.</t>
  </si>
  <si>
    <t>High-risk exposure to intensifying carbon regulations. With a carbon intensity of 2.35 tCO2/t, JSW Steel faces a terminal threat to profitability, with base-case margin erosion exceeding 39.0%. The lack of aggressive H2-DRI transition plans makes the current valuation unsustainable.</t>
  </si>
  <si>
    <t>High-risk exposure to intensifying carbon regulations. With a carbon intensity of 2.15 tCO2/t, Thyssenkrupp faces a terminal threat to profitability, with base-case margin erosion exceeding 42.9%. The lack of aggressive H2-DRI transition plans makes the current valuation unsustainable.</t>
  </si>
  <si>
    <t>Primary beneficiary of the low-carbon transition. With a 10% EAF share and best-in-class intensity (1.6 tCO2/t), Voestalpine is effectively 'future-proofed' against carbon taxes, allowing for significant market share capture as competitors' margins erode.</t>
  </si>
  <si>
    <t>Stress Carbon Price</t>
  </si>
  <si>
    <t>STEEL SECTOR: CARBON RISK &amp; INVESTMENT STRATEGY (2030)</t>
  </si>
  <si>
    <t>Avg. Margin Erosion</t>
  </si>
  <si>
    <t>High-Risk Assets</t>
  </si>
  <si>
    <r>
      <rPr>
        <b/>
        <sz val="20"/>
        <color theme="1"/>
        <rFont val="Calibri"/>
        <family val="2"/>
        <scheme val="minor"/>
      </rPr>
      <t>STRATEGIC FINDING</t>
    </r>
    <r>
      <rPr>
        <sz val="20"/>
        <color theme="1"/>
        <rFont val="Calibri"/>
        <family val="2"/>
        <scheme val="minor"/>
      </rPr>
      <t xml:space="preserve">: The global steel sector is facing a "Margin Cliff." Companies relying on Coal-based (BF-BOF) production face 100%+ margin erosion by 2030 unless they deploy massive Green Hydrogen/EAF capex. We recommend an </t>
    </r>
    <r>
      <rPr>
        <b/>
        <i/>
        <sz val="20"/>
        <color theme="1"/>
        <rFont val="Calibri"/>
        <family val="2"/>
        <scheme val="minor"/>
      </rPr>
      <t>Overweight</t>
    </r>
    <r>
      <rPr>
        <sz val="20"/>
        <color theme="1"/>
        <rFont val="Calibri"/>
        <family val="2"/>
        <scheme val="minor"/>
      </rPr>
      <t xml:space="preserve"> position on US-based scrap recyclers (Nucor/SDI) and a </t>
    </r>
    <r>
      <rPr>
        <b/>
        <i/>
        <sz val="20"/>
        <color theme="1"/>
        <rFont val="Calibri"/>
        <family val="2"/>
        <scheme val="minor"/>
      </rPr>
      <t>Sell</t>
    </r>
    <r>
      <rPr>
        <sz val="20"/>
        <color theme="1"/>
        <rFont val="Calibri"/>
        <family val="2"/>
        <scheme val="minor"/>
      </rPr>
      <t xml:space="preserve"> on high-intensity Asian producers.</t>
    </r>
  </si>
  <si>
    <r>
      <t xml:space="preserve"> </t>
    </r>
    <r>
      <rPr>
        <b/>
        <sz val="12"/>
        <color theme="1"/>
        <rFont val="Calibri"/>
        <family val="2"/>
        <scheme val="minor"/>
      </rPr>
      <t>Value</t>
    </r>
  </si>
  <si>
    <t>Base EBITDA ($B)</t>
  </si>
  <si>
    <t>Net Carbon Impact ($M)</t>
  </si>
  <si>
    <t>Portfolio EBITDA ($B)</t>
  </si>
  <si>
    <t xml:space="preserve"> Domestic Carbon Cost ($B)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</si>
</sst>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[$$-409]* #,##0_ ;_-[$$-409]* \-#,##0\ ;_-[$$-409]* &quot;-&quot;??_ ;_-@_ 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</cellStyleXfs>
  <cellXfs count="32">
    <xf numFmtId="0" fontId="0" fillId="0" borderId="0" xfId="0"/>
    <xf numFmtId="9" fontId="0" fillId="0" borderId="0" xfId="2" applyFont="1"/>
    <xf numFmtId="43" fontId="0" fillId="0" borderId="0" xfId="1" applyFont="1"/>
    <xf numFmtId="165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wrapText="1"/>
    </xf>
    <xf numFmtId="0" fontId="0" fillId="0" borderId="3" xfId="0" applyBorder="1"/>
    <xf numFmtId="0" fontId="6" fillId="0" borderId="2" xfId="0" applyFont="1" applyBorder="1" applyAlignment="1">
      <alignment wrapText="1"/>
    </xf>
    <xf numFmtId="0" fontId="0" fillId="0" borderId="2" xfId="0" applyBorder="1"/>
    <xf numFmtId="164" fontId="1" fillId="6" borderId="2" xfId="7" applyNumberFormat="1" applyBorder="1"/>
    <xf numFmtId="0" fontId="1" fillId="6" borderId="2" xfId="7" applyBorder="1"/>
    <xf numFmtId="14" fontId="1" fillId="6" borderId="2" xfId="7" applyNumberFormat="1" applyBorder="1"/>
    <xf numFmtId="0" fontId="6" fillId="0" borderId="2" xfId="0" applyFont="1" applyBorder="1"/>
    <xf numFmtId="0" fontId="1" fillId="7" borderId="2" xfId="8" applyBorder="1"/>
    <xf numFmtId="0" fontId="1" fillId="4" borderId="2" xfId="5" applyBorder="1"/>
    <xf numFmtId="0" fontId="6" fillId="5" borderId="2" xfId="6" applyFont="1" applyBorder="1"/>
    <xf numFmtId="9" fontId="6" fillId="5" borderId="2" xfId="6" applyNumberFormat="1" applyFont="1" applyBorder="1"/>
    <xf numFmtId="9" fontId="1" fillId="4" borderId="2" xfId="5" applyNumberFormat="1" applyBorder="1"/>
    <xf numFmtId="9" fontId="1" fillId="7" borderId="2" xfId="8" applyNumberFormat="1" applyBorder="1"/>
    <xf numFmtId="0" fontId="2" fillId="8" borderId="2" xfId="9" applyBorder="1"/>
    <xf numFmtId="165" fontId="6" fillId="5" borderId="2" xfId="1" applyNumberFormat="1" applyFont="1" applyFill="1" applyBorder="1"/>
    <xf numFmtId="165" fontId="1" fillId="7" borderId="2" xfId="1" applyNumberFormat="1" applyFill="1" applyBorder="1"/>
    <xf numFmtId="165" fontId="0" fillId="0" borderId="0" xfId="1" applyNumberFormat="1" applyFont="1"/>
    <xf numFmtId="165" fontId="6" fillId="5" borderId="2" xfId="6" applyNumberFormat="1" applyFont="1" applyBorder="1"/>
    <xf numFmtId="165" fontId="1" fillId="7" borderId="2" xfId="8" applyNumberFormat="1" applyBorder="1"/>
    <xf numFmtId="165" fontId="1" fillId="4" borderId="2" xfId="5" applyNumberFormat="1" applyBorder="1"/>
    <xf numFmtId="9" fontId="6" fillId="5" borderId="2" xfId="2" applyFont="1" applyFill="1" applyBorder="1"/>
    <xf numFmtId="9" fontId="1" fillId="4" borderId="2" xfId="2" applyFill="1" applyBorder="1"/>
    <xf numFmtId="165" fontId="8" fillId="3" borderId="0" xfId="4" applyNumberFormat="1" applyFont="1"/>
    <xf numFmtId="9" fontId="8" fillId="3" borderId="0" xfId="4" applyNumberFormat="1" applyFont="1"/>
    <xf numFmtId="0" fontId="7" fillId="2" borderId="1" xfId="3" applyFont="1"/>
    <xf numFmtId="0" fontId="9" fillId="0" borderId="0" xfId="0" applyFont="1" applyAlignment="1">
      <alignment horizontal="center"/>
    </xf>
  </cellXfs>
  <cellStyles count="10">
    <cellStyle name="20% - Accent1" xfId="5" builtinId="30"/>
    <cellStyle name="20% - Accent3" xfId="6" builtinId="38"/>
    <cellStyle name="20% - Accent5" xfId="8" builtinId="46"/>
    <cellStyle name="40% - Accent4" xfId="7" builtinId="43"/>
    <cellStyle name="60% - Accent5" xfId="9" builtinId="48"/>
    <cellStyle name="Accent1" xfId="4" builtinId="29"/>
    <cellStyle name="Comma" xfId="1" builtinId="3"/>
    <cellStyle name="Normal" xfId="0" builtinId="0"/>
    <cellStyle name="Note" xfId="3" builtinId="10"/>
    <cellStyle name="Percent" xfId="2" builtinId="5"/>
  </cellStyles>
  <dxfs count="13">
    <dxf>
      <numFmt numFmtId="165" formatCode="_-[$$-409]* #,##0.00_ ;_-[$$-409]* \-#,##0.00\ ;_-[$$-409]* &quot;-&quot;??_ ;_-@_ "/>
    </dxf>
    <dxf>
      <numFmt numFmtId="13" formatCode="0%"/>
    </dxf>
    <dxf>
      <numFmt numFmtId="165" formatCode="_-[$$-409]* #,##0.00_ ;_-[$$-409]* \-#,##0.00\ ;_-[$$-409]* &quot;-&quot;??_ ;_-@_ 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299358</xdr:colOff>
      <xdr:row>6</xdr:row>
      <xdr:rowOff>27213</xdr:rowOff>
    </xdr:from>
    <xdr:to>
      <xdr:col>7</xdr:col>
      <xdr:colOff>789215</xdr:colOff>
      <xdr:row>65</xdr:row>
      <xdr:rowOff>176892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8" y="1170213"/>
          <a:ext cx="14332403" cy="1138917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142873</xdr:rowOff>
    </xdr:from>
    <xdr:ext cx="8943974" cy="4152902"/>
    <xdr:sp macro="" textlink="">
      <xdr:nvSpPr>
        <xdr:cNvPr id="2" name="TextBox 1"/>
        <xdr:cNvSpPr txBox="1"/>
      </xdr:nvSpPr>
      <xdr:spPr>
        <a:xfrm>
          <a:off x="1" y="142873"/>
          <a:ext cx="8943974" cy="41529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Project Overview: Stress-Testing Global Steel Equity Against Carbon Transition Risk</a:t>
          </a:r>
        </a:p>
        <a:p>
          <a:endParaRPr lang="en-I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Problem:</a:t>
          </a:r>
          <a:r>
            <a:rPr lang="en-IN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Decarbonization has shifted from an ESG checkbox to a core financial liability for the global steel industry. With the phase-in of the EU Carbon Border Adjustment Mechanism (CBAM) and rising domestic carbon prices, industrial margins are at severe risk. Traditional valuation models often overlook the hidden "Carbon Beta" of these companies.</a:t>
          </a:r>
        </a:p>
        <a:p>
          <a:endParaRPr lang="en-I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Methodology:</a:t>
          </a:r>
          <a:r>
            <a:rPr lang="en-IN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This project features a proprietary Carbon Risk Engine that evaluates 10 global steel producers (representing 400Mt+ of capacity). The model integrates technical production data (EAF vs. BF-BOF shares) with financial metrics to estimate EBITDA margin erosion. I stress-tested the portfolio against two scenarios: a Base Case ($70/t$ carbon) and a Stress Case ($100/t$ carbon), incorporating EU CBAM liability for exports.</a:t>
          </a:r>
        </a:p>
        <a:p>
          <a:endParaRPr lang="en-I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Finding:</a:t>
          </a:r>
          <a:r>
            <a:rPr lang="en-IN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analysis reveals a stark divergence in "Carbon Winners" and "Losers." Low-intensity producers like Nucor and Steel Dynamics (USA) show negligible margin impact (&lt;3%), whereas high-intensity players in India and China face up to 40% margin erosion. This model demonstrates that unless traditional players invest heavily in H2-DRI transition capex (est. $600/t$), their current equity valuations are fundamentally unsustainable in a Net Zero scenario.</a:t>
          </a:r>
        </a:p>
        <a:p>
          <a:endParaRPr lang="en-IN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arbon%20Project%202.0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Data &amp; Assumptions"/>
      <sheetName val="Carbon Risk Engine"/>
      <sheetName val="Investment Thesis"/>
      <sheetName val="Dashboard"/>
    </sheetNames>
    <sheetDataSet>
      <sheetData sheetId="0">
        <row r="2">
          <cell r="A2" t="str">
            <v>Nucor</v>
          </cell>
          <cell r="H2">
            <v>5.3</v>
          </cell>
        </row>
        <row r="3">
          <cell r="A3" t="str">
            <v>Steel Dynamics</v>
          </cell>
          <cell r="H3">
            <v>3.5</v>
          </cell>
        </row>
        <row r="4">
          <cell r="A4" t="str">
            <v>ArcelorMittal</v>
          </cell>
          <cell r="H4">
            <v>6.5</v>
          </cell>
        </row>
        <row r="5">
          <cell r="A5" t="str">
            <v>Baowu Steel</v>
          </cell>
          <cell r="H5">
            <v>12</v>
          </cell>
        </row>
        <row r="6">
          <cell r="A6" t="str">
            <v>POSCO</v>
          </cell>
          <cell r="H6">
            <v>5.5</v>
          </cell>
        </row>
        <row r="7">
          <cell r="A7" t="str">
            <v>Nippon Steel</v>
          </cell>
          <cell r="H7">
            <v>5</v>
          </cell>
        </row>
        <row r="8">
          <cell r="A8" t="str">
            <v>Tata Steel</v>
          </cell>
          <cell r="H8">
            <v>3.1</v>
          </cell>
        </row>
        <row r="9">
          <cell r="A9" t="str">
            <v>JSW Steel</v>
          </cell>
          <cell r="H9">
            <v>2.8</v>
          </cell>
        </row>
        <row r="10">
          <cell r="A10" t="str">
            <v>Thyssenkrupp</v>
          </cell>
          <cell r="H10">
            <v>2.5</v>
          </cell>
        </row>
        <row r="11">
          <cell r="A11" t="str">
            <v>Voestalpine</v>
          </cell>
          <cell r="H11">
            <v>2.2000000000000002</v>
          </cell>
        </row>
      </sheetData>
      <sheetData sheetId="1">
        <row r="2">
          <cell r="G2">
            <v>0.45150000000000001</v>
          </cell>
          <cell r="H2">
            <v>0.45150000000000001</v>
          </cell>
          <cell r="S2">
            <v>0.11415094339622642</v>
          </cell>
        </row>
        <row r="3">
          <cell r="G3">
            <v>0.27300000000000002</v>
          </cell>
          <cell r="H3">
            <v>0.27300000000000002</v>
          </cell>
          <cell r="S3">
            <v>9.9999999999999992E-2</v>
          </cell>
        </row>
        <row r="4">
          <cell r="G4">
            <v>4.2629999999999999</v>
          </cell>
          <cell r="H4">
            <v>4.7355</v>
          </cell>
          <cell r="S4">
            <v>0.93076923076923079</v>
          </cell>
        </row>
        <row r="5">
          <cell r="G5">
            <v>11.465999999999999</v>
          </cell>
          <cell r="H5">
            <v>12.096</v>
          </cell>
          <cell r="S5">
            <v>1.3616666666666666</v>
          </cell>
        </row>
        <row r="6">
          <cell r="G6">
            <v>3.4397999999999991</v>
          </cell>
          <cell r="H6">
            <v>3.6872999999999991</v>
          </cell>
          <cell r="S6">
            <v>0.88618181818181807</v>
          </cell>
        </row>
        <row r="7">
          <cell r="G7">
            <v>3.7883999999999993</v>
          </cell>
          <cell r="H7">
            <v>4.0223999999999993</v>
          </cell>
          <cell r="S7">
            <v>1.0743999999999998</v>
          </cell>
        </row>
        <row r="8">
          <cell r="G8">
            <v>2.8904400000000003</v>
          </cell>
          <cell r="H8">
            <v>3.1118400000000004</v>
          </cell>
          <cell r="S8">
            <v>1.3190967741935484</v>
          </cell>
        </row>
        <row r="9">
          <cell r="G9">
            <v>2.7635999999999998</v>
          </cell>
          <cell r="H9">
            <v>2.9345999999999997</v>
          </cell>
          <cell r="S9">
            <v>1.3957142857142857</v>
          </cell>
        </row>
        <row r="10">
          <cell r="G10">
            <v>0.99329999999999996</v>
          </cell>
          <cell r="H10">
            <v>1.7358</v>
          </cell>
          <cell r="S10">
            <v>0.55159999999999998</v>
          </cell>
        </row>
        <row r="11">
          <cell r="G11">
            <v>0.47040000000000004</v>
          </cell>
          <cell r="H11">
            <v>0.59640000000000015</v>
          </cell>
          <cell r="S11">
            <v>0.28727272727272724</v>
          </cell>
        </row>
      </sheetData>
      <sheetData sheetId="2">
        <row r="2">
          <cell r="A2" t="str">
            <v>Nucor</v>
          </cell>
          <cell r="D2" t="str">
            <v>BUY</v>
          </cell>
        </row>
        <row r="3">
          <cell r="A3" t="str">
            <v>Steel Dynamics</v>
          </cell>
          <cell r="D3" t="str">
            <v>BUY</v>
          </cell>
        </row>
        <row r="4">
          <cell r="A4" t="str">
            <v>ArcelorMittal</v>
          </cell>
          <cell r="D4" t="str">
            <v>HOLD</v>
          </cell>
        </row>
        <row r="5">
          <cell r="A5" t="str">
            <v>Baowu Steel</v>
          </cell>
          <cell r="D5" t="str">
            <v>SELL</v>
          </cell>
        </row>
        <row r="6">
          <cell r="A6" t="str">
            <v>POSCO</v>
          </cell>
          <cell r="D6" t="str">
            <v>HOLD</v>
          </cell>
        </row>
        <row r="7">
          <cell r="A7" t="str">
            <v>Nippon Steel</v>
          </cell>
          <cell r="D7" t="str">
            <v>HOLD</v>
          </cell>
        </row>
        <row r="8">
          <cell r="A8" t="str">
            <v>Tata Steel</v>
          </cell>
          <cell r="D8" t="str">
            <v>SELL</v>
          </cell>
        </row>
        <row r="9">
          <cell r="A9" t="str">
            <v>JSW Steel</v>
          </cell>
          <cell r="D9" t="str">
            <v>SELL</v>
          </cell>
        </row>
        <row r="10">
          <cell r="A10" t="str">
            <v>Thyssenkrupp</v>
          </cell>
          <cell r="D10" t="str">
            <v>SELL</v>
          </cell>
        </row>
        <row r="11">
          <cell r="A11" t="str">
            <v>Voestalpine</v>
          </cell>
          <cell r="D11" t="str">
            <v>BUY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id="2" name="Table2" displayName="Table2" ref="I21:L31" totalsRowShown="0">
  <autoFilter ref="I21:L31"/>
  <tableColumns count="4">
    <tableColumn id="1" name="Company">
      <calculatedColumnFormula>'[1]Company Data &amp; Assumptions'!A2</calculatedColumnFormula>
    </tableColumn>
    <tableColumn id="2" name=" Base EBITDA ($B)" dataDxfId="2">
      <calculatedColumnFormula>'[1]Company Data &amp; Assumptions'!H2</calculatedColumnFormula>
    </tableColumn>
    <tableColumn id="3" name=" Domestic Carbon Cost ($B) " dataDxfId="0">
      <calculatedColumnFormula>'[1]Carbon Risk Engine'!G2</calculatedColumnFormula>
    </tableColumn>
    <tableColumn id="4" name="Stress Erosion %" dataDxfId="1">
      <calculatedColumnFormula>'[1]Carbon Risk Engine'!S2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21" totalsRowShown="0">
  <autoFilter ref="A1:G21"/>
  <tableColumns count="7">
    <tableColumn id="1" name="Company"/>
    <tableColumn id="2" name="Region"/>
    <tableColumn id="3" name="Scenario"/>
    <tableColumn id="4" name="Adj. EBITDA" dataDxfId="10" dataCellStyle="Comma">
      <calculatedColumnFormula>VLOOKUP(A2, Stress_Scenario!A:F, 6, FALSE)</calculatedColumnFormula>
    </tableColumn>
    <tableColumn id="5" name="Erosion %" dataDxfId="11" dataCellStyle="Percent">
      <calculatedColumnFormula>VLOOKUP(A2, Stress_Scenario!A:G, 7, FALSE)</calculatedColumnFormula>
    </tableColumn>
    <tableColumn id="6" name="Net Compliance Cost ($B)" dataDxfId="12" dataCellStyle="Comma">
      <calculatedColumnFormula>VLOOKUP(A2, Stress_Scenario!A:E, 5, FALSE)</calculatedColumnFormula>
    </tableColumn>
    <tableColumn id="7" name="ESG Rating 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Views>
    <sheetView showGridLines="0" tabSelected="1" zoomScale="70" zoomScaleNormal="70" workbookViewId="0">
      <selection activeCell="J6" sqref="J6"/>
    </sheetView>
  </sheetViews>
  <sheetFormatPr defaultRowHeight="15" x14ac:dyDescent="0.25"/>
  <cols>
    <col min="1" max="1" width="27.42578125" customWidth="1"/>
    <col min="2" max="2" width="33.140625" bestFit="1" customWidth="1"/>
    <col min="3" max="3" width="37" customWidth="1"/>
    <col min="4" max="4" width="31.140625" bestFit="1" customWidth="1"/>
    <col min="5" max="5" width="30.5703125" customWidth="1"/>
    <col min="6" max="6" width="34.5703125" bestFit="1" customWidth="1"/>
    <col min="7" max="7" width="14" customWidth="1"/>
    <col min="8" max="8" width="25.85546875" bestFit="1" customWidth="1"/>
    <col min="9" max="9" width="15.85546875" bestFit="1" customWidth="1"/>
    <col min="10" max="10" width="27.85546875" style="3" bestFit="1" customWidth="1"/>
    <col min="11" max="11" width="39.140625" style="3" bestFit="1" customWidth="1"/>
    <col min="12" max="12" width="24" bestFit="1" customWidth="1"/>
    <col min="13" max="13" width="17.140625" bestFit="1" customWidth="1"/>
    <col min="27" max="27" width="15.85546875" bestFit="1" customWidth="1"/>
    <col min="28" max="28" width="33.28515625" customWidth="1"/>
    <col min="29" max="29" width="32" style="1" customWidth="1"/>
  </cols>
  <sheetData>
    <row r="1" spans="1:8" x14ac:dyDescent="0.25">
      <c r="A1" s="31" t="s">
        <v>90</v>
      </c>
      <c r="B1" s="31"/>
      <c r="C1" s="31"/>
      <c r="D1" s="31"/>
      <c r="E1" s="31"/>
      <c r="F1" s="31"/>
      <c r="G1" s="31"/>
      <c r="H1" s="31"/>
    </row>
    <row r="2" spans="1:8" x14ac:dyDescent="0.25">
      <c r="A2" s="31"/>
      <c r="B2" s="31"/>
      <c r="C2" s="31"/>
      <c r="D2" s="31"/>
      <c r="E2" s="31"/>
      <c r="F2" s="31"/>
      <c r="G2" s="31"/>
      <c r="H2" s="31"/>
    </row>
    <row r="4" spans="1:8" ht="23.25" x14ac:dyDescent="0.35">
      <c r="B4" s="30" t="s">
        <v>97</v>
      </c>
      <c r="D4" s="30" t="s">
        <v>91</v>
      </c>
      <c r="F4" s="30" t="s">
        <v>76</v>
      </c>
      <c r="H4" s="30" t="s">
        <v>92</v>
      </c>
    </row>
    <row r="5" spans="1:8" ht="31.5" x14ac:dyDescent="0.5">
      <c r="B5" s="28">
        <f>SUM('[1]Company Data &amp; Assumptions'!$H$2:$H$11)</f>
        <v>48.4</v>
      </c>
      <c r="D5" s="29">
        <f>F5/B5</f>
        <v>0.69513099173553738</v>
      </c>
      <c r="F5" s="28">
        <f>SUM('[1]Carbon Risk Engine'!$H$2:$H$11)</f>
        <v>33.644340000000007</v>
      </c>
      <c r="H5" s="29">
        <f>COUNTIF('[1]Investment Thesis'!$D$2:$D$11, "SELL") / COUNTA('[1]Investment Thesis'!$A$2:$A$11)</f>
        <v>0.4</v>
      </c>
    </row>
    <row r="21" spans="9:12" x14ac:dyDescent="0.25">
      <c r="I21" t="s">
        <v>30</v>
      </c>
      <c r="J21" s="3" t="s">
        <v>53</v>
      </c>
      <c r="K21" s="3" t="s">
        <v>98</v>
      </c>
      <c r="L21" s="4" t="s">
        <v>68</v>
      </c>
    </row>
    <row r="22" spans="9:12" x14ac:dyDescent="0.25">
      <c r="I22" t="str">
        <f>'[1]Company Data &amp; Assumptions'!A2</f>
        <v>Nucor</v>
      </c>
      <c r="J22" s="3">
        <f>'[1]Company Data &amp; Assumptions'!H2</f>
        <v>5.3</v>
      </c>
      <c r="K22" s="3">
        <f>'[1]Carbon Risk Engine'!G2</f>
        <v>0.45150000000000001</v>
      </c>
      <c r="L22" s="4">
        <f>'[1]Carbon Risk Engine'!S2</f>
        <v>0.11415094339622642</v>
      </c>
    </row>
    <row r="23" spans="9:12" x14ac:dyDescent="0.25">
      <c r="I23" t="str">
        <f>'[1]Company Data &amp; Assumptions'!A3</f>
        <v>Steel Dynamics</v>
      </c>
      <c r="J23" s="3">
        <f>'[1]Company Data &amp; Assumptions'!H3</f>
        <v>3.5</v>
      </c>
      <c r="K23" s="3">
        <f>'[1]Carbon Risk Engine'!G3</f>
        <v>0.27300000000000002</v>
      </c>
      <c r="L23" s="4">
        <f>'[1]Carbon Risk Engine'!S3</f>
        <v>9.9999999999999992E-2</v>
      </c>
    </row>
    <row r="24" spans="9:12" x14ac:dyDescent="0.25">
      <c r="I24" t="str">
        <f>'[1]Company Data &amp; Assumptions'!A4</f>
        <v>ArcelorMittal</v>
      </c>
      <c r="J24" s="3">
        <f>'[1]Company Data &amp; Assumptions'!H4</f>
        <v>6.5</v>
      </c>
      <c r="K24" s="3">
        <f>'[1]Carbon Risk Engine'!G4</f>
        <v>4.2629999999999999</v>
      </c>
      <c r="L24" s="4">
        <f>'[1]Carbon Risk Engine'!S4</f>
        <v>0.93076923076923079</v>
      </c>
    </row>
    <row r="25" spans="9:12" x14ac:dyDescent="0.25">
      <c r="I25" t="str">
        <f>'[1]Company Data &amp; Assumptions'!A5</f>
        <v>Baowu Steel</v>
      </c>
      <c r="J25" s="3">
        <f>'[1]Company Data &amp; Assumptions'!H5</f>
        <v>12</v>
      </c>
      <c r="K25" s="3">
        <f>'[1]Carbon Risk Engine'!G5</f>
        <v>11.465999999999999</v>
      </c>
      <c r="L25" s="4">
        <f>'[1]Carbon Risk Engine'!S5</f>
        <v>1.3616666666666666</v>
      </c>
    </row>
    <row r="26" spans="9:12" x14ac:dyDescent="0.25">
      <c r="I26" t="str">
        <f>'[1]Company Data &amp; Assumptions'!A6</f>
        <v>POSCO</v>
      </c>
      <c r="J26" s="3">
        <f>'[1]Company Data &amp; Assumptions'!H6</f>
        <v>5.5</v>
      </c>
      <c r="K26" s="3">
        <f>'[1]Carbon Risk Engine'!G6</f>
        <v>3.4397999999999991</v>
      </c>
      <c r="L26" s="4">
        <f>'[1]Carbon Risk Engine'!S6</f>
        <v>0.88618181818181807</v>
      </c>
    </row>
    <row r="27" spans="9:12" x14ac:dyDescent="0.25">
      <c r="I27" t="str">
        <f>'[1]Company Data &amp; Assumptions'!A7</f>
        <v>Nippon Steel</v>
      </c>
      <c r="J27" s="3">
        <f>'[1]Company Data &amp; Assumptions'!H7</f>
        <v>5</v>
      </c>
      <c r="K27" s="3">
        <f>'[1]Carbon Risk Engine'!G7</f>
        <v>3.7883999999999993</v>
      </c>
      <c r="L27" s="4">
        <f>'[1]Carbon Risk Engine'!S7</f>
        <v>1.0743999999999998</v>
      </c>
    </row>
    <row r="28" spans="9:12" x14ac:dyDescent="0.25">
      <c r="I28" t="str">
        <f>'[1]Company Data &amp; Assumptions'!A8</f>
        <v>Tata Steel</v>
      </c>
      <c r="J28" s="3">
        <f>'[1]Company Data &amp; Assumptions'!H8</f>
        <v>3.1</v>
      </c>
      <c r="K28" s="3">
        <f>'[1]Carbon Risk Engine'!G8</f>
        <v>2.8904400000000003</v>
      </c>
      <c r="L28" s="4">
        <f>'[1]Carbon Risk Engine'!S8</f>
        <v>1.3190967741935484</v>
      </c>
    </row>
    <row r="29" spans="9:12" x14ac:dyDescent="0.25">
      <c r="I29" t="str">
        <f>'[1]Company Data &amp; Assumptions'!A9</f>
        <v>JSW Steel</v>
      </c>
      <c r="J29" s="3">
        <f>'[1]Company Data &amp; Assumptions'!H9</f>
        <v>2.8</v>
      </c>
      <c r="K29" s="3">
        <f>'[1]Carbon Risk Engine'!G9</f>
        <v>2.7635999999999998</v>
      </c>
      <c r="L29" s="4">
        <f>'[1]Carbon Risk Engine'!S9</f>
        <v>1.3957142857142857</v>
      </c>
    </row>
    <row r="30" spans="9:12" x14ac:dyDescent="0.25">
      <c r="I30" t="str">
        <f>'[1]Company Data &amp; Assumptions'!A10</f>
        <v>Thyssenkrupp</v>
      </c>
      <c r="J30" s="3">
        <f>'[1]Company Data &amp; Assumptions'!H10</f>
        <v>2.5</v>
      </c>
      <c r="K30" s="3">
        <f>'[1]Carbon Risk Engine'!G10</f>
        <v>0.99329999999999996</v>
      </c>
      <c r="L30" s="4">
        <f>'[1]Carbon Risk Engine'!S10</f>
        <v>0.55159999999999998</v>
      </c>
    </row>
    <row r="31" spans="9:12" x14ac:dyDescent="0.25">
      <c r="I31" t="str">
        <f>'[1]Company Data &amp; Assumptions'!A11</f>
        <v>Voestalpine</v>
      </c>
      <c r="J31" s="3">
        <f>'[1]Company Data &amp; Assumptions'!H11</f>
        <v>2.2000000000000002</v>
      </c>
      <c r="K31" s="3">
        <f>'[1]Carbon Risk Engine'!G11</f>
        <v>0.47040000000000004</v>
      </c>
      <c r="L31" s="4">
        <f>'[1]Carbon Risk Engine'!S11</f>
        <v>0.28727272727272724</v>
      </c>
    </row>
    <row r="69" spans="1:8" x14ac:dyDescent="0.25">
      <c r="A69" s="5" t="s">
        <v>93</v>
      </c>
      <c r="B69" s="5"/>
      <c r="C69" s="5"/>
      <c r="D69" s="5"/>
      <c r="E69" s="5"/>
      <c r="F69" s="5"/>
      <c r="G69" s="5"/>
      <c r="H69" s="5"/>
    </row>
    <row r="70" spans="1:8" x14ac:dyDescent="0.25">
      <c r="A70" s="5"/>
      <c r="B70" s="5"/>
      <c r="C70" s="5"/>
      <c r="D70" s="5"/>
      <c r="E70" s="5"/>
      <c r="F70" s="5"/>
      <c r="G70" s="5"/>
      <c r="H70" s="5"/>
    </row>
    <row r="71" spans="1:8" x14ac:dyDescent="0.25">
      <c r="A71" s="5"/>
      <c r="B71" s="5"/>
      <c r="C71" s="5"/>
      <c r="D71" s="5"/>
      <c r="E71" s="5"/>
      <c r="F71" s="5"/>
      <c r="G71" s="5"/>
      <c r="H71" s="5"/>
    </row>
    <row r="72" spans="1:8" x14ac:dyDescent="0.25">
      <c r="A72" s="5"/>
      <c r="B72" s="5"/>
      <c r="C72" s="5"/>
      <c r="D72" s="5"/>
      <c r="E72" s="5"/>
      <c r="F72" s="5"/>
      <c r="G72" s="5"/>
      <c r="H72" s="5"/>
    </row>
    <row r="73" spans="1:8" x14ac:dyDescent="0.25">
      <c r="A73" s="5"/>
      <c r="B73" s="5"/>
      <c r="C73" s="5"/>
      <c r="D73" s="5"/>
      <c r="E73" s="5"/>
      <c r="F73" s="5"/>
      <c r="G73" s="5"/>
      <c r="H73" s="5"/>
    </row>
    <row r="74" spans="1:8" x14ac:dyDescent="0.25">
      <c r="A74" s="5"/>
      <c r="B74" s="5"/>
      <c r="C74" s="5"/>
      <c r="D74" s="5"/>
      <c r="E74" s="5"/>
      <c r="F74" s="5"/>
      <c r="G74" s="5"/>
      <c r="H74" s="5"/>
    </row>
  </sheetData>
  <mergeCells count="2">
    <mergeCell ref="A1:H2"/>
    <mergeCell ref="A69:H74"/>
  </mergeCells>
  <conditionalFormatting sqref="L22:L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workbookViewId="0">
      <selection activeCell="D1" sqref="D1:D1048576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0.85546875" bestFit="1" customWidth="1"/>
    <col min="4" max="4" width="14.28515625" style="3" customWidth="1"/>
    <col min="5" max="5" width="12.140625" customWidth="1"/>
    <col min="6" max="6" width="25.5703125" style="22" customWidth="1"/>
    <col min="7" max="7" width="12.85546875" style="2" customWidth="1"/>
    <col min="8" max="8" width="9.5703125" style="1" bestFit="1" customWidth="1"/>
    <col min="9" max="9" width="10.7109375" bestFit="1" customWidth="1"/>
  </cols>
  <sheetData>
    <row r="1" spans="1:10" x14ac:dyDescent="0.25">
      <c r="A1" t="s">
        <v>30</v>
      </c>
      <c r="B1" t="s">
        <v>29</v>
      </c>
      <c r="C1" t="s">
        <v>70</v>
      </c>
      <c r="D1" s="22" t="s">
        <v>71</v>
      </c>
      <c r="E1" s="1" t="s">
        <v>72</v>
      </c>
      <c r="F1" s="22" t="s">
        <v>57</v>
      </c>
      <c r="G1" t="s">
        <v>58</v>
      </c>
    </row>
    <row r="2" spans="1:10" x14ac:dyDescent="0.25">
      <c r="A2" t="str">
        <f>Company_Data!A2</f>
        <v>Nucor</v>
      </c>
      <c r="B2" t="str">
        <f>Company_Data!B2</f>
        <v>USA</v>
      </c>
      <c r="C2" t="s">
        <v>73</v>
      </c>
      <c r="D2" s="22">
        <f>VLOOKUP(A2, Valuation_Impact!A:B, 2, FALSE)</f>
        <v>5.1494999999999997</v>
      </c>
      <c r="E2" s="1">
        <f>VLOOKUP(A2, Valuation_Impact!A:C, 3, FALSE)</f>
        <v>2.8396226415094355E-2</v>
      </c>
      <c r="F2" s="22">
        <f>Carbon_Risk_Engine!H2</f>
        <v>0.45150000000000001</v>
      </c>
      <c r="G2" t="str">
        <f>Valuation_Impact!F2</f>
        <v>AAA</v>
      </c>
    </row>
    <row r="3" spans="1:10" x14ac:dyDescent="0.25">
      <c r="A3" t="str">
        <f>Company_Data!A3</f>
        <v>Steel Dynamics</v>
      </c>
      <c r="B3" t="str">
        <f>Company_Data!B3</f>
        <v>USA</v>
      </c>
      <c r="C3" t="s">
        <v>73</v>
      </c>
      <c r="D3" s="22">
        <f>VLOOKUP(A3, Valuation_Impact!A:B, 2, FALSE)</f>
        <v>3.4089999999999998</v>
      </c>
      <c r="E3" s="1">
        <f>VLOOKUP(A3, Valuation_Impact!A:C, 3, FALSE)</f>
        <v>2.6000000000000054E-2</v>
      </c>
      <c r="F3" s="22">
        <f>Carbon_Risk_Engine!H3</f>
        <v>0.27300000000000002</v>
      </c>
      <c r="G3" t="str">
        <f>Valuation_Impact!F3</f>
        <v>AAA</v>
      </c>
    </row>
    <row r="4" spans="1:10" x14ac:dyDescent="0.25">
      <c r="A4" t="str">
        <f>Company_Data!A4</f>
        <v>ArcelorMittal</v>
      </c>
      <c r="B4" t="str">
        <f>Company_Data!B4</f>
        <v>Europe/Global</v>
      </c>
      <c r="C4" t="s">
        <v>73</v>
      </c>
      <c r="D4" s="22">
        <f>VLOOKUP(A4, Valuation_Impact!A:B, 2, FALSE)</f>
        <v>4.6065000000000005</v>
      </c>
      <c r="E4" s="1">
        <f>VLOOKUP(A4, Valuation_Impact!A:C, 3, FALSE)</f>
        <v>0.29130769230769221</v>
      </c>
      <c r="F4" s="22">
        <f>Carbon_Risk_Engine!H4</f>
        <v>4.7355</v>
      </c>
      <c r="G4" t="str">
        <f>Valuation_Impact!F4</f>
        <v>BBB</v>
      </c>
    </row>
    <row r="5" spans="1:10" x14ac:dyDescent="0.25">
      <c r="A5" t="str">
        <f>Company_Data!A5</f>
        <v>Baowu Steel</v>
      </c>
      <c r="B5" t="str">
        <f>Company_Data!B5</f>
        <v>China</v>
      </c>
      <c r="C5" t="s">
        <v>73</v>
      </c>
      <c r="D5" s="22">
        <f>VLOOKUP(A5, Valuation_Impact!A:B, 2, FALSE)</f>
        <v>7.548</v>
      </c>
      <c r="E5" s="1">
        <f>VLOOKUP(A5, Valuation_Impact!A:C, 3, FALSE)</f>
        <v>0.371</v>
      </c>
      <c r="F5" s="22">
        <f>Carbon_Risk_Engine!H5</f>
        <v>12.096</v>
      </c>
      <c r="G5" t="str">
        <f>Valuation_Impact!F5</f>
        <v>CCC</v>
      </c>
    </row>
    <row r="6" spans="1:10" x14ac:dyDescent="0.25">
      <c r="A6" t="str">
        <f>Company_Data!A6</f>
        <v>POSCO</v>
      </c>
      <c r="B6" t="str">
        <f>Company_Data!B6</f>
        <v>South Korea</v>
      </c>
      <c r="C6" t="s">
        <v>73</v>
      </c>
      <c r="D6" s="22">
        <f>VLOOKUP(A6, Valuation_Impact!A:B, 2, FALSE)</f>
        <v>4.1059000000000001</v>
      </c>
      <c r="E6" s="1">
        <f>VLOOKUP(A6, Valuation_Impact!A:C, 3, FALSE)</f>
        <v>0.25347272727272724</v>
      </c>
      <c r="F6" s="22">
        <f>Carbon_Risk_Engine!H6</f>
        <v>3.6872999999999991</v>
      </c>
      <c r="G6" t="str">
        <f>Valuation_Impact!F6</f>
        <v>BBB</v>
      </c>
    </row>
    <row r="7" spans="1:10" x14ac:dyDescent="0.25">
      <c r="A7" t="str">
        <f>Company_Data!A7</f>
        <v>Nippon Steel</v>
      </c>
      <c r="B7" t="str">
        <f>Company_Data!B7</f>
        <v>Japan</v>
      </c>
      <c r="C7" t="s">
        <v>73</v>
      </c>
      <c r="D7" s="22">
        <f>VLOOKUP(A7, Valuation_Impact!A:B, 2, FALSE)</f>
        <v>3.5032000000000005</v>
      </c>
      <c r="E7" s="1">
        <f>VLOOKUP(A7, Valuation_Impact!A:C, 3, FALSE)</f>
        <v>0.2993599999999999</v>
      </c>
      <c r="F7" s="22">
        <f>Carbon_Risk_Engine!H7</f>
        <v>4.0223999999999993</v>
      </c>
      <c r="G7" t="str">
        <f>Valuation_Impact!F7</f>
        <v>BBB</v>
      </c>
    </row>
    <row r="8" spans="1:10" x14ac:dyDescent="0.25">
      <c r="A8" t="str">
        <f>Company_Data!A8</f>
        <v>Tata Steel</v>
      </c>
      <c r="B8" t="str">
        <f>Company_Data!B8</f>
        <v>India</v>
      </c>
      <c r="C8" t="s">
        <v>73</v>
      </c>
      <c r="D8" s="22">
        <f>VLOOKUP(A8, Valuation_Impact!A:B, 2, FALSE)</f>
        <v>1.9151199999999999</v>
      </c>
      <c r="E8" s="1">
        <f>VLOOKUP(A8, Valuation_Impact!A:C, 3, FALSE)</f>
        <v>0.38221935483870972</v>
      </c>
      <c r="F8" s="22">
        <f>Carbon_Risk_Engine!H8</f>
        <v>3.1118400000000004</v>
      </c>
      <c r="G8" t="str">
        <f>Valuation_Impact!F8</f>
        <v>CCC</v>
      </c>
    </row>
    <row r="9" spans="1:10" x14ac:dyDescent="0.25">
      <c r="A9" t="str">
        <f>Company_Data!A9</f>
        <v>JSW Steel</v>
      </c>
      <c r="B9" t="str">
        <f>Company_Data!B9</f>
        <v>India</v>
      </c>
      <c r="C9" t="s">
        <v>73</v>
      </c>
      <c r="D9" s="22">
        <f>VLOOKUP(A9, Valuation_Impact!A:B, 2, FALSE)</f>
        <v>1.7078000000000002</v>
      </c>
      <c r="E9" s="1">
        <f>VLOOKUP(A9, Valuation_Impact!A:C, 3, FALSE)</f>
        <v>0.39007142857142846</v>
      </c>
      <c r="F9" s="22">
        <f>Carbon_Risk_Engine!H9</f>
        <v>2.9345999999999997</v>
      </c>
      <c r="G9" t="str">
        <f>Valuation_Impact!F9</f>
        <v>CCC</v>
      </c>
      <c r="J9" t="s">
        <v>77</v>
      </c>
    </row>
    <row r="10" spans="1:10" x14ac:dyDescent="0.25">
      <c r="A10" t="str">
        <f>Company_Data!A10</f>
        <v>Thyssenkrupp</v>
      </c>
      <c r="B10" t="str">
        <f>Company_Data!B10</f>
        <v>Germany</v>
      </c>
      <c r="C10" t="s">
        <v>73</v>
      </c>
      <c r="D10" s="22">
        <f>VLOOKUP(A10, Valuation_Impact!A:B, 2, FALSE)</f>
        <v>1.4264000000000001</v>
      </c>
      <c r="E10" s="1">
        <f>VLOOKUP(A10, Valuation_Impact!A:C, 3, FALSE)</f>
        <v>0.42943999999999993</v>
      </c>
      <c r="F10" s="22">
        <f>Carbon_Risk_Engine!H10</f>
        <v>1.7358</v>
      </c>
      <c r="G10" t="str">
        <f>Valuation_Impact!F10</f>
        <v>CCC</v>
      </c>
    </row>
    <row r="11" spans="1:10" x14ac:dyDescent="0.25">
      <c r="A11" t="str">
        <f>Company_Data!A11</f>
        <v>Voestalpine</v>
      </c>
      <c r="B11" t="str">
        <f>Company_Data!B11</f>
        <v>Austria</v>
      </c>
      <c r="C11" t="s">
        <v>73</v>
      </c>
      <c r="D11" s="22">
        <f>VLOOKUP(A11, Valuation_Impact!A:B, 2, FALSE)</f>
        <v>1.9172000000000002</v>
      </c>
      <c r="E11" s="1">
        <f>VLOOKUP(A11, Valuation_Impact!A:C, 3, FALSE)</f>
        <v>0.12854545454545452</v>
      </c>
      <c r="F11" s="22">
        <f>Carbon_Risk_Engine!H11</f>
        <v>0.59640000000000015</v>
      </c>
      <c r="G11" t="str">
        <f>Valuation_Impact!F11</f>
        <v>AAA</v>
      </c>
    </row>
    <row r="12" spans="1:10" x14ac:dyDescent="0.25">
      <c r="A12" t="str">
        <f>Company_Data!A2</f>
        <v>Nucor</v>
      </c>
      <c r="B12" t="str">
        <f>Company_Data!B2</f>
        <v>USA</v>
      </c>
      <c r="C12" t="s">
        <v>74</v>
      </c>
      <c r="D12" s="22">
        <f>VLOOKUP(A12, Stress_Scenario!A:F, 6, FALSE)</f>
        <v>4.6950000000000003</v>
      </c>
      <c r="E12" s="1">
        <f>VLOOKUP(A12, Stress_Scenario!A:G, 7, FALSE)</f>
        <v>0.11415094339622642</v>
      </c>
      <c r="F12" s="22">
        <f>VLOOKUP(A12, Stress_Scenario!A:E, 5, FALSE)</f>
        <v>0.60499999999999998</v>
      </c>
      <c r="G12" t="s">
        <v>75</v>
      </c>
    </row>
    <row r="13" spans="1:10" x14ac:dyDescent="0.25">
      <c r="A13" t="str">
        <f>Company_Data!A3</f>
        <v>Steel Dynamics</v>
      </c>
      <c r="B13" t="str">
        <f>Company_Data!B3</f>
        <v>USA</v>
      </c>
      <c r="C13" t="s">
        <v>74</v>
      </c>
      <c r="D13" s="22">
        <f>VLOOKUP(A13, Stress_Scenario!A:F, 6, FALSE)</f>
        <v>3.15</v>
      </c>
      <c r="E13" s="1">
        <f>VLOOKUP(A13, Stress_Scenario!A:G, 7, FALSE)</f>
        <v>9.9999999999999992E-2</v>
      </c>
      <c r="F13" s="22">
        <f>VLOOKUP(A13, Stress_Scenario!A:E, 5, FALSE)</f>
        <v>0.35</v>
      </c>
      <c r="G13" t="s">
        <v>75</v>
      </c>
    </row>
    <row r="14" spans="1:10" x14ac:dyDescent="0.25">
      <c r="A14" t="str">
        <f>Company_Data!A4</f>
        <v>ArcelorMittal</v>
      </c>
      <c r="B14" t="str">
        <f>Company_Data!B4</f>
        <v>Europe/Global</v>
      </c>
      <c r="C14" t="s">
        <v>74</v>
      </c>
      <c r="D14" s="22">
        <f>VLOOKUP(A14, Stress_Scenario!A:F, 6, FALSE)</f>
        <v>0.45000000000000018</v>
      </c>
      <c r="E14" s="1">
        <f>VLOOKUP(A14, Stress_Scenario!A:G, 7, FALSE)</f>
        <v>0.93076923076923079</v>
      </c>
      <c r="F14" s="22">
        <f>VLOOKUP(A14, Stress_Scenario!A:E, 5, FALSE)</f>
        <v>6.05</v>
      </c>
      <c r="G14" t="s">
        <v>75</v>
      </c>
    </row>
    <row r="15" spans="1:10" x14ac:dyDescent="0.25">
      <c r="A15" t="str">
        <f>Company_Data!A5</f>
        <v>Baowu Steel</v>
      </c>
      <c r="B15" t="str">
        <f>Company_Data!B5</f>
        <v>China</v>
      </c>
      <c r="C15" t="s">
        <v>74</v>
      </c>
      <c r="D15" s="22">
        <f>VLOOKUP(A15, Stress_Scenario!A:F, 6, FALSE)</f>
        <v>-4.34</v>
      </c>
      <c r="E15" s="1">
        <f>VLOOKUP(A15, Stress_Scenario!A:G, 7, FALSE)</f>
        <v>1.3616666666666666</v>
      </c>
      <c r="F15" s="22">
        <f>VLOOKUP(A15, Stress_Scenario!A:E, 5, FALSE)</f>
        <v>16.34</v>
      </c>
      <c r="G15" t="s">
        <v>75</v>
      </c>
    </row>
    <row r="16" spans="1:10" x14ac:dyDescent="0.25">
      <c r="A16" t="str">
        <f>Company_Data!A6</f>
        <v>POSCO</v>
      </c>
      <c r="B16" t="str">
        <f>Company_Data!B6</f>
        <v>South Korea</v>
      </c>
      <c r="C16" t="s">
        <v>74</v>
      </c>
      <c r="D16" s="22">
        <f>VLOOKUP(A16, Stress_Scenario!A:F, 6, FALSE)</f>
        <v>0.62600000000000033</v>
      </c>
      <c r="E16" s="1">
        <f>VLOOKUP(A16, Stress_Scenario!A:G, 7, FALSE)</f>
        <v>0.88618181818181807</v>
      </c>
      <c r="F16" s="22">
        <f>VLOOKUP(A16, Stress_Scenario!A:E, 5, FALSE)</f>
        <v>4.8739999999999997</v>
      </c>
      <c r="G16" t="s">
        <v>75</v>
      </c>
    </row>
    <row r="17" spans="1:7" x14ac:dyDescent="0.25">
      <c r="A17" t="str">
        <f>Company_Data!A7</f>
        <v>Nippon Steel</v>
      </c>
      <c r="B17" t="str">
        <f>Company_Data!B7</f>
        <v>Japan</v>
      </c>
      <c r="C17" t="s">
        <v>74</v>
      </c>
      <c r="D17" s="22">
        <f>VLOOKUP(A17, Stress_Scenario!A:F, 6, FALSE)</f>
        <v>-0.371999999999999</v>
      </c>
      <c r="E17" s="1">
        <f>VLOOKUP(A17, Stress_Scenario!A:G, 7, FALSE)</f>
        <v>1.0743999999999998</v>
      </c>
      <c r="F17" s="22">
        <f>VLOOKUP(A17, Stress_Scenario!A:E, 5, FALSE)</f>
        <v>5.371999999999999</v>
      </c>
      <c r="G17" t="s">
        <v>75</v>
      </c>
    </row>
    <row r="18" spans="1:7" x14ac:dyDescent="0.25">
      <c r="A18" t="str">
        <f>Company_Data!A8</f>
        <v>Tata Steel</v>
      </c>
      <c r="B18" t="str">
        <f>Company_Data!B8</f>
        <v>India</v>
      </c>
      <c r="C18" t="s">
        <v>74</v>
      </c>
      <c r="D18" s="22">
        <f>VLOOKUP(A18, Stress_Scenario!A:F, 6, FALSE)</f>
        <v>-0.98919999999999986</v>
      </c>
      <c r="E18" s="1">
        <f>VLOOKUP(A18, Stress_Scenario!A:G, 7, FALSE)</f>
        <v>1.3190967741935484</v>
      </c>
      <c r="F18" s="22">
        <f>VLOOKUP(A18, Stress_Scenario!A:E, 5, FALSE)</f>
        <v>4.0891999999999999</v>
      </c>
      <c r="G18" t="s">
        <v>75</v>
      </c>
    </row>
    <row r="19" spans="1:7" x14ac:dyDescent="0.25">
      <c r="A19" t="str">
        <f>Company_Data!A9</f>
        <v>JSW Steel</v>
      </c>
      <c r="B19" t="str">
        <f>Company_Data!B9</f>
        <v>India</v>
      </c>
      <c r="C19" t="s">
        <v>74</v>
      </c>
      <c r="D19" s="22">
        <f>VLOOKUP(A19, Stress_Scenario!A:F, 6, FALSE)</f>
        <v>-1.1080000000000001</v>
      </c>
      <c r="E19" s="1">
        <f>VLOOKUP(A19, Stress_Scenario!A:G, 7, FALSE)</f>
        <v>1.3957142857142857</v>
      </c>
      <c r="F19" s="22">
        <f>VLOOKUP(A19, Stress_Scenario!A:E, 5, FALSE)</f>
        <v>3.9079999999999999</v>
      </c>
      <c r="G19" t="s">
        <v>75</v>
      </c>
    </row>
    <row r="20" spans="1:7" x14ac:dyDescent="0.25">
      <c r="A20" t="str">
        <f>Company_Data!A10</f>
        <v>Thyssenkrupp</v>
      </c>
      <c r="B20" t="str">
        <f>Company_Data!B10</f>
        <v>Germany</v>
      </c>
      <c r="C20" t="s">
        <v>74</v>
      </c>
      <c r="D20" s="22">
        <f>VLOOKUP(A20, Stress_Scenario!A:F, 6, FALSE)</f>
        <v>1.121</v>
      </c>
      <c r="E20" s="1">
        <f>VLOOKUP(A20, Stress_Scenario!A:G, 7, FALSE)</f>
        <v>0.55159999999999998</v>
      </c>
      <c r="F20" s="22">
        <f>VLOOKUP(A20, Stress_Scenario!A:E, 5, FALSE)</f>
        <v>1.379</v>
      </c>
      <c r="G20" t="s">
        <v>75</v>
      </c>
    </row>
    <row r="21" spans="1:7" x14ac:dyDescent="0.25">
      <c r="A21" t="str">
        <f>Company_Data!A11</f>
        <v>Voestalpine</v>
      </c>
      <c r="B21" t="str">
        <f>Company_Data!B11</f>
        <v>Austria</v>
      </c>
      <c r="C21" t="s">
        <v>74</v>
      </c>
      <c r="D21" s="22">
        <f>VLOOKUP(A21, Stress_Scenario!A:F, 6, FALSE)</f>
        <v>1.5680000000000001</v>
      </c>
      <c r="E21" s="1">
        <f>VLOOKUP(A21, Stress_Scenario!A:G, 7, FALSE)</f>
        <v>0.28727272727272724</v>
      </c>
      <c r="F21" s="22">
        <f>VLOOKUP(A21, Stress_Scenario!A:E, 5, FALSE)</f>
        <v>0.63200000000000001</v>
      </c>
      <c r="G21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R15" sqref="R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selection activeCell="E13" sqref="E13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2.140625" bestFit="1" customWidth="1"/>
    <col min="4" max="4" width="16.7109375" bestFit="1" customWidth="1"/>
    <col min="5" max="5" width="255.7109375" bestFit="1" customWidth="1"/>
  </cols>
  <sheetData>
    <row r="1" spans="1:5" ht="15.75" x14ac:dyDescent="0.25">
      <c r="A1" s="15" t="str">
        <f>Company_Data!A1</f>
        <v>Company</v>
      </c>
      <c r="B1" s="15" t="str">
        <f>Company_Data!B1</f>
        <v>Region</v>
      </c>
      <c r="C1" s="15" t="str">
        <f>Valuation_Impact!F1</f>
        <v xml:space="preserve">ESG Rating </v>
      </c>
      <c r="D1" s="15" t="str">
        <f>Valuation_Impact!G1</f>
        <v>Investment Rec.</v>
      </c>
      <c r="E1" s="15" t="s">
        <v>78</v>
      </c>
    </row>
    <row r="2" spans="1:5" x14ac:dyDescent="0.25">
      <c r="A2" s="14" t="str">
        <f>Company_Data!A2</f>
        <v>Nucor</v>
      </c>
      <c r="B2" s="14" t="str">
        <f>Company_Data!B2</f>
        <v>USA</v>
      </c>
      <c r="C2" s="14" t="str">
        <f>Valuation_Impact!F2</f>
        <v>AAA</v>
      </c>
      <c r="D2" s="14" t="str">
        <f>Valuation_Impact!G2</f>
        <v>BUY</v>
      </c>
      <c r="E2" s="14" t="s">
        <v>79</v>
      </c>
    </row>
    <row r="3" spans="1:5" x14ac:dyDescent="0.25">
      <c r="A3" s="14" t="str">
        <f>Company_Data!A3</f>
        <v>Steel Dynamics</v>
      </c>
      <c r="B3" s="14" t="str">
        <f>Company_Data!B3</f>
        <v>USA</v>
      </c>
      <c r="C3" s="14" t="str">
        <f>Valuation_Impact!F3</f>
        <v>AAA</v>
      </c>
      <c r="D3" s="14" t="str">
        <f>Valuation_Impact!G3</f>
        <v>BUY</v>
      </c>
      <c r="E3" s="14" t="s">
        <v>80</v>
      </c>
    </row>
    <row r="4" spans="1:5" x14ac:dyDescent="0.25">
      <c r="A4" s="14" t="str">
        <f>Company_Data!A4</f>
        <v>ArcelorMittal</v>
      </c>
      <c r="B4" s="14" t="str">
        <f>Company_Data!B4</f>
        <v>Europe/Global</v>
      </c>
      <c r="C4" s="14" t="str">
        <f>Valuation_Impact!F4</f>
        <v>BBB</v>
      </c>
      <c r="D4" s="14" t="str">
        <f>Valuation_Impact!G4</f>
        <v>HOLD</v>
      </c>
      <c r="E4" s="14" t="s">
        <v>81</v>
      </c>
    </row>
    <row r="5" spans="1:5" x14ac:dyDescent="0.25">
      <c r="A5" s="14" t="str">
        <f>Company_Data!A5</f>
        <v>Baowu Steel</v>
      </c>
      <c r="B5" s="14" t="str">
        <f>Company_Data!B5</f>
        <v>China</v>
      </c>
      <c r="C5" s="14" t="str">
        <f>Valuation_Impact!F5</f>
        <v>CCC</v>
      </c>
      <c r="D5" s="14" t="str">
        <f>Valuation_Impact!G5</f>
        <v>SELL</v>
      </c>
      <c r="E5" s="14" t="s">
        <v>82</v>
      </c>
    </row>
    <row r="6" spans="1:5" x14ac:dyDescent="0.25">
      <c r="A6" s="14" t="str">
        <f>Company_Data!A6</f>
        <v>POSCO</v>
      </c>
      <c r="B6" s="14" t="str">
        <f>Company_Data!B6</f>
        <v>South Korea</v>
      </c>
      <c r="C6" s="14" t="str">
        <f>Valuation_Impact!F6</f>
        <v>BBB</v>
      </c>
      <c r="D6" s="14" t="str">
        <f>Valuation_Impact!G6</f>
        <v>HOLD</v>
      </c>
      <c r="E6" s="14" t="s">
        <v>83</v>
      </c>
    </row>
    <row r="7" spans="1:5" x14ac:dyDescent="0.25">
      <c r="A7" s="14" t="str">
        <f>Company_Data!A7</f>
        <v>Nippon Steel</v>
      </c>
      <c r="B7" s="14" t="str">
        <f>Company_Data!B7</f>
        <v>Japan</v>
      </c>
      <c r="C7" s="14" t="str">
        <f>Valuation_Impact!F7</f>
        <v>BBB</v>
      </c>
      <c r="D7" s="14" t="str">
        <f>Valuation_Impact!G7</f>
        <v>HOLD</v>
      </c>
      <c r="E7" s="14" t="s">
        <v>84</v>
      </c>
    </row>
    <row r="8" spans="1:5" x14ac:dyDescent="0.25">
      <c r="A8" s="14" t="str">
        <f>Company_Data!A8</f>
        <v>Tata Steel</v>
      </c>
      <c r="B8" s="14" t="str">
        <f>Company_Data!B8</f>
        <v>India</v>
      </c>
      <c r="C8" s="14" t="str">
        <f>Valuation_Impact!F8</f>
        <v>CCC</v>
      </c>
      <c r="D8" s="14" t="str">
        <f>Valuation_Impact!G8</f>
        <v>SELL</v>
      </c>
      <c r="E8" s="14" t="s">
        <v>85</v>
      </c>
    </row>
    <row r="9" spans="1:5" x14ac:dyDescent="0.25">
      <c r="A9" s="14" t="str">
        <f>Company_Data!A9</f>
        <v>JSW Steel</v>
      </c>
      <c r="B9" s="14" t="str">
        <f>Company_Data!B9</f>
        <v>India</v>
      </c>
      <c r="C9" s="14" t="str">
        <f>Valuation_Impact!F9</f>
        <v>CCC</v>
      </c>
      <c r="D9" s="14" t="str">
        <f>Valuation_Impact!G9</f>
        <v>SELL</v>
      </c>
      <c r="E9" s="14" t="s">
        <v>86</v>
      </c>
    </row>
    <row r="10" spans="1:5" x14ac:dyDescent="0.25">
      <c r="A10" s="14" t="str">
        <f>Company_Data!A10</f>
        <v>Thyssenkrupp</v>
      </c>
      <c r="B10" s="14" t="str">
        <f>Company_Data!B10</f>
        <v>Germany</v>
      </c>
      <c r="C10" s="14" t="str">
        <f>Valuation_Impact!F10</f>
        <v>CCC</v>
      </c>
      <c r="D10" s="14" t="str">
        <f>Valuation_Impact!G10</f>
        <v>SELL</v>
      </c>
      <c r="E10" s="14" t="s">
        <v>87</v>
      </c>
    </row>
    <row r="11" spans="1:5" x14ac:dyDescent="0.25">
      <c r="A11" s="14" t="str">
        <f>Company_Data!A11</f>
        <v>Voestalpine</v>
      </c>
      <c r="B11" s="14" t="str">
        <f>Company_Data!B11</f>
        <v>Austria</v>
      </c>
      <c r="C11" s="14" t="str">
        <f>Valuation_Impact!F11</f>
        <v>AAA</v>
      </c>
      <c r="D11" s="14" t="str">
        <f>Valuation_Impact!G11</f>
        <v>BUY</v>
      </c>
      <c r="E11" s="14" t="s">
        <v>88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6C5FF1B-52AE-4242-B967-C90A8F7B69C4}">
            <xm:f>NOT(ISERROR(SEARCH($D$2,D2)))</xm:f>
            <xm:f>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D2:D11</xm:sqref>
        </x14:conditionalFormatting>
        <x14:conditionalFormatting xmlns:xm="http://schemas.microsoft.com/office/excel/2006/main">
          <x14:cfRule type="containsText" priority="2" operator="containsText" id="{2A04B74D-B50D-467A-A5C4-D82EE4A67374}">
            <xm:f>NOT(ISERROR(SEARCH($D$4,D4)))</xm:f>
            <xm:f>$D$4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D4:D8</xm:sqref>
        </x14:conditionalFormatting>
        <x14:conditionalFormatting xmlns:xm="http://schemas.microsoft.com/office/excel/2006/main">
          <x14:cfRule type="containsText" priority="1" operator="containsText" id="{59F7C2B0-8768-4034-AC33-D60A551C6E1A}">
            <xm:f>NOT(ISERROR(SEARCH($D$5,D5)))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D5:D10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>
      <selection activeCell="E16" sqref="E16"/>
    </sheetView>
  </sheetViews>
  <sheetFormatPr defaultRowHeight="15" x14ac:dyDescent="0.25"/>
  <cols>
    <col min="1" max="1" width="14.5703125" bestFit="1" customWidth="1"/>
    <col min="2" max="2" width="20" style="22" bestFit="1" customWidth="1"/>
    <col min="3" max="3" width="18.5703125" style="22" bestFit="1" customWidth="1"/>
    <col min="4" max="4" width="22.42578125" style="3" bestFit="1" customWidth="1"/>
    <col min="5" max="5" width="28.28515625" style="22" bestFit="1" customWidth="1"/>
    <col min="6" max="6" width="24" style="22" bestFit="1" customWidth="1"/>
    <col min="7" max="7" width="17" style="1" bestFit="1" customWidth="1"/>
  </cols>
  <sheetData>
    <row r="1" spans="1:7" ht="15.75" x14ac:dyDescent="0.25">
      <c r="A1" s="15" t="str">
        <f>Company_Data!A1</f>
        <v>Company</v>
      </c>
      <c r="B1" s="20" t="s">
        <v>63</v>
      </c>
      <c r="C1" s="20" t="s">
        <v>64</v>
      </c>
      <c r="D1" s="23" t="s">
        <v>65</v>
      </c>
      <c r="E1" s="20" t="s">
        <v>66</v>
      </c>
      <c r="F1" s="20" t="s">
        <v>67</v>
      </c>
      <c r="G1" s="16" t="s">
        <v>68</v>
      </c>
    </row>
    <row r="2" spans="1:7" x14ac:dyDescent="0.25">
      <c r="A2" s="13" t="str">
        <f>Company_Data!A2</f>
        <v>Nucor</v>
      </c>
      <c r="B2" s="21">
        <f>(Carbon_Risk_Engine!B2 * 100) / 1000</f>
        <v>1.075</v>
      </c>
      <c r="C2" s="21">
        <f>B2 * 0.4</f>
        <v>0.43</v>
      </c>
      <c r="D2" s="24">
        <f>B2 * 0.4/ B2 * 0.1</f>
        <v>4.0000000000000008E-2</v>
      </c>
      <c r="E2" s="21">
        <f>B2 - C2 - D2</f>
        <v>0.60499999999999998</v>
      </c>
      <c r="F2" s="21">
        <f>Company_Data!H2 - E2</f>
        <v>4.6950000000000003</v>
      </c>
      <c r="G2" s="18">
        <f>E2 / Company_Data!H2</f>
        <v>0.11415094339622642</v>
      </c>
    </row>
    <row r="3" spans="1:7" x14ac:dyDescent="0.25">
      <c r="A3" s="13" t="str">
        <f>Company_Data!A3</f>
        <v>Steel Dynamics</v>
      </c>
      <c r="B3" s="21">
        <f>(Carbon_Risk_Engine!B3 * 100) / 1000</f>
        <v>0.65</v>
      </c>
      <c r="C3" s="21">
        <f t="shared" ref="C3:C11" si="0">B3 * 0.4</f>
        <v>0.26</v>
      </c>
      <c r="D3" s="24">
        <f t="shared" ref="D3:D11" si="1">B3 * 0.4/ B3 * 0.1</f>
        <v>4.0000000000000008E-2</v>
      </c>
      <c r="E3" s="21">
        <f t="shared" ref="E3:E11" si="2">B3 - C3 - D3</f>
        <v>0.35</v>
      </c>
      <c r="F3" s="21">
        <f>Company_Data!H3 - E3</f>
        <v>3.15</v>
      </c>
      <c r="G3" s="18">
        <f>E3 / Company_Data!H3</f>
        <v>9.9999999999999992E-2</v>
      </c>
    </row>
    <row r="4" spans="1:7" x14ac:dyDescent="0.25">
      <c r="A4" s="13" t="str">
        <f>Company_Data!A4</f>
        <v>ArcelorMittal</v>
      </c>
      <c r="B4" s="21">
        <f>(Carbon_Risk_Engine!B4 * 100) / 1000</f>
        <v>10.15</v>
      </c>
      <c r="C4" s="21">
        <f t="shared" si="0"/>
        <v>4.0600000000000005</v>
      </c>
      <c r="D4" s="24">
        <f t="shared" si="1"/>
        <v>4.0000000000000008E-2</v>
      </c>
      <c r="E4" s="21">
        <f t="shared" si="2"/>
        <v>6.05</v>
      </c>
      <c r="F4" s="21">
        <f>Company_Data!H4 - E4</f>
        <v>0.45000000000000018</v>
      </c>
      <c r="G4" s="18">
        <f>E4 / Company_Data!H4</f>
        <v>0.93076923076923079</v>
      </c>
    </row>
    <row r="5" spans="1:7" x14ac:dyDescent="0.25">
      <c r="A5" s="13" t="str">
        <f>Company_Data!A5</f>
        <v>Baowu Steel</v>
      </c>
      <c r="B5" s="21">
        <f>(Carbon_Risk_Engine!B5 * 100) / 1000</f>
        <v>27.3</v>
      </c>
      <c r="C5" s="21">
        <f t="shared" si="0"/>
        <v>10.920000000000002</v>
      </c>
      <c r="D5" s="24">
        <f t="shared" si="1"/>
        <v>4.0000000000000008E-2</v>
      </c>
      <c r="E5" s="21">
        <f t="shared" si="2"/>
        <v>16.34</v>
      </c>
      <c r="F5" s="21">
        <f>Company_Data!H5 - E5</f>
        <v>-4.34</v>
      </c>
      <c r="G5" s="18">
        <f>E5 / Company_Data!H5</f>
        <v>1.3616666666666666</v>
      </c>
    </row>
    <row r="6" spans="1:7" x14ac:dyDescent="0.25">
      <c r="A6" s="13" t="str">
        <f>Company_Data!A6</f>
        <v>POSCO</v>
      </c>
      <c r="B6" s="21">
        <f>(Carbon_Risk_Engine!B6 * 100) / 1000</f>
        <v>8.19</v>
      </c>
      <c r="C6" s="21">
        <f t="shared" si="0"/>
        <v>3.2759999999999998</v>
      </c>
      <c r="D6" s="24">
        <f t="shared" si="1"/>
        <v>4.0000000000000008E-2</v>
      </c>
      <c r="E6" s="21">
        <f t="shared" si="2"/>
        <v>4.8739999999999997</v>
      </c>
      <c r="F6" s="21">
        <f>Company_Data!H6 - E6</f>
        <v>0.62600000000000033</v>
      </c>
      <c r="G6" s="18">
        <f>E6 / Company_Data!H6</f>
        <v>0.88618181818181807</v>
      </c>
    </row>
    <row r="7" spans="1:7" x14ac:dyDescent="0.25">
      <c r="A7" s="13" t="str">
        <f>Company_Data!A7</f>
        <v>Nippon Steel</v>
      </c>
      <c r="B7" s="21">
        <f>(Carbon_Risk_Engine!B7 * 100) / 1000</f>
        <v>9.0199999999999978</v>
      </c>
      <c r="C7" s="21">
        <f t="shared" si="0"/>
        <v>3.6079999999999992</v>
      </c>
      <c r="D7" s="24">
        <f t="shared" si="1"/>
        <v>4.0000000000000008E-2</v>
      </c>
      <c r="E7" s="21">
        <f t="shared" si="2"/>
        <v>5.371999999999999</v>
      </c>
      <c r="F7" s="21">
        <f>Company_Data!H7 - E7</f>
        <v>-0.371999999999999</v>
      </c>
      <c r="G7" s="18">
        <f>E7 / Company_Data!H7</f>
        <v>1.0743999999999998</v>
      </c>
    </row>
    <row r="8" spans="1:7" x14ac:dyDescent="0.25">
      <c r="A8" s="13" t="str">
        <f>Company_Data!A8</f>
        <v>Tata Steel</v>
      </c>
      <c r="B8" s="21">
        <f>(Carbon_Risk_Engine!B8 * 100) / 1000</f>
        <v>6.8820000000000006</v>
      </c>
      <c r="C8" s="21">
        <f t="shared" si="0"/>
        <v>2.7528000000000006</v>
      </c>
      <c r="D8" s="24">
        <f t="shared" si="1"/>
        <v>4.0000000000000008E-2</v>
      </c>
      <c r="E8" s="21">
        <f t="shared" si="2"/>
        <v>4.0891999999999999</v>
      </c>
      <c r="F8" s="21">
        <f>Company_Data!H8 - E8</f>
        <v>-0.98919999999999986</v>
      </c>
      <c r="G8" s="18">
        <f>E8 / Company_Data!H8</f>
        <v>1.3190967741935484</v>
      </c>
    </row>
    <row r="9" spans="1:7" x14ac:dyDescent="0.25">
      <c r="A9" s="13" t="str">
        <f>Company_Data!A9</f>
        <v>JSW Steel</v>
      </c>
      <c r="B9" s="21">
        <f>(Carbon_Risk_Engine!B9 * 100) / 1000</f>
        <v>6.58</v>
      </c>
      <c r="C9" s="21">
        <f t="shared" si="0"/>
        <v>2.6320000000000001</v>
      </c>
      <c r="D9" s="24">
        <f t="shared" si="1"/>
        <v>4.0000000000000008E-2</v>
      </c>
      <c r="E9" s="21">
        <f t="shared" si="2"/>
        <v>3.9079999999999999</v>
      </c>
      <c r="F9" s="21">
        <f>Company_Data!H9 - E9</f>
        <v>-1.1080000000000001</v>
      </c>
      <c r="G9" s="18">
        <f>E9 / Company_Data!H9</f>
        <v>1.3957142857142857</v>
      </c>
    </row>
    <row r="10" spans="1:7" x14ac:dyDescent="0.25">
      <c r="A10" s="13" t="str">
        <f>Company_Data!A10</f>
        <v>Thyssenkrupp</v>
      </c>
      <c r="B10" s="21">
        <f>(Carbon_Risk_Engine!B10 * 100) / 1000</f>
        <v>2.3650000000000002</v>
      </c>
      <c r="C10" s="21">
        <f t="shared" si="0"/>
        <v>0.94600000000000017</v>
      </c>
      <c r="D10" s="24">
        <f t="shared" si="1"/>
        <v>4.0000000000000008E-2</v>
      </c>
      <c r="E10" s="21">
        <f t="shared" si="2"/>
        <v>1.379</v>
      </c>
      <c r="F10" s="21">
        <f>Company_Data!H10 - E10</f>
        <v>1.121</v>
      </c>
      <c r="G10" s="18">
        <f>E10 / Company_Data!H10</f>
        <v>0.55159999999999998</v>
      </c>
    </row>
    <row r="11" spans="1:7" x14ac:dyDescent="0.25">
      <c r="A11" s="13" t="str">
        <f>Company_Data!A11</f>
        <v>Voestalpine</v>
      </c>
      <c r="B11" s="21">
        <f>(Carbon_Risk_Engine!B11 * 100) / 1000</f>
        <v>1.1200000000000001</v>
      </c>
      <c r="C11" s="21">
        <f t="shared" si="0"/>
        <v>0.44800000000000006</v>
      </c>
      <c r="D11" s="24">
        <f t="shared" si="1"/>
        <v>4.0000000000000008E-2</v>
      </c>
      <c r="E11" s="21">
        <f t="shared" si="2"/>
        <v>0.63200000000000001</v>
      </c>
      <c r="F11" s="21">
        <f>Company_Data!H11 - E11</f>
        <v>1.5680000000000001</v>
      </c>
      <c r="G11" s="18">
        <f>E11 / Company_Data!H11</f>
        <v>0.28727272727272724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>
      <selection activeCell="D13" sqref="D13"/>
    </sheetView>
  </sheetViews>
  <sheetFormatPr defaultRowHeight="15" x14ac:dyDescent="0.25"/>
  <cols>
    <col min="1" max="1" width="14.5703125" bestFit="1" customWidth="1"/>
    <col min="2" max="2" width="18.7109375" style="22" bestFit="1" customWidth="1"/>
    <col min="3" max="3" width="18.42578125" style="1" bestFit="1" customWidth="1"/>
    <col min="4" max="4" width="27.140625" bestFit="1" customWidth="1"/>
    <col min="5" max="5" width="18.5703125" bestFit="1" customWidth="1"/>
    <col min="6" max="6" width="12.140625" bestFit="1" customWidth="1"/>
    <col min="7" max="7" width="16.7109375" bestFit="1" customWidth="1"/>
    <col min="9" max="9" width="21.140625" bestFit="1" customWidth="1"/>
  </cols>
  <sheetData>
    <row r="1" spans="1:7" ht="15.75" x14ac:dyDescent="0.25">
      <c r="A1" s="15" t="str">
        <f>Company_Data!A1</f>
        <v>Company</v>
      </c>
      <c r="B1" s="23" t="s">
        <v>34</v>
      </c>
      <c r="C1" s="16" t="s">
        <v>33</v>
      </c>
      <c r="D1" s="15" t="s">
        <v>37</v>
      </c>
      <c r="E1" s="15" t="s">
        <v>36</v>
      </c>
      <c r="F1" s="15" t="s">
        <v>58</v>
      </c>
      <c r="G1" s="15" t="s">
        <v>32</v>
      </c>
    </row>
    <row r="2" spans="1:7" x14ac:dyDescent="0.25">
      <c r="A2" s="14" t="str">
        <f>Company_Data!A2</f>
        <v>Nucor</v>
      </c>
      <c r="B2" s="25">
        <f>Company_Data!H2 - Carbon_Risk_Engine!J2</f>
        <v>5.1494999999999997</v>
      </c>
      <c r="C2" s="17">
        <f>IF(B2 &lt;= 0, "EBITDA Negative", (Company_Data!H2 - B2) / Company_Data!H2)</f>
        <v>2.8396226415094355E-2</v>
      </c>
      <c r="D2" s="14">
        <f>(Company_Data!C2 * Assumptions!$B$8)/1000</f>
        <v>15</v>
      </c>
      <c r="E2" s="14" t="str">
        <f>IF(C2 &lt; 0.15, "LEADER", IF(C2 &lt; 0.4, "STABLE", "AT RISK"))</f>
        <v>LEADER</v>
      </c>
      <c r="F2" s="14" t="str">
        <f>IF(C2 &lt; 0.15, "AAA", IF(C2 &lt; 0.35, "BBB", "CCC"))</f>
        <v>AAA</v>
      </c>
      <c r="G2" s="14" t="str">
        <f>IF(F2 = "AAA", "BUY", IF(F2 = "BBB", "HOLD", "SELL"))</f>
        <v>BUY</v>
      </c>
    </row>
    <row r="3" spans="1:7" x14ac:dyDescent="0.25">
      <c r="A3" s="14" t="str">
        <f>Company_Data!A3</f>
        <v>Steel Dynamics</v>
      </c>
      <c r="B3" s="25">
        <f>Company_Data!H3 - Carbon_Risk_Engine!J3</f>
        <v>3.4089999999999998</v>
      </c>
      <c r="C3" s="17">
        <f>IF(B3 &lt;= 0, "EBITDA Negative", (Company_Data!H3 - B3) / Company_Data!H3)</f>
        <v>2.6000000000000054E-2</v>
      </c>
      <c r="D3" s="14">
        <f>(Company_Data!C3 * Assumptions!$B$8)/1000</f>
        <v>7.8</v>
      </c>
      <c r="E3" s="14" t="str">
        <f t="shared" ref="E3:E11" si="0">IF(C3 &lt; 0.15, "LEADER", IF(C3 &lt; 0.4, "STABLE", "AT RISK"))</f>
        <v>LEADER</v>
      </c>
      <c r="F3" s="14" t="str">
        <f t="shared" ref="F3:F11" si="1">IF(C3 &lt; 0.15, "AAA", IF(C3 &lt; 0.35, "BBB", "CCC"))</f>
        <v>AAA</v>
      </c>
      <c r="G3" s="14" t="str">
        <f>IF(F3 = "AAA", "BUY", IF(F3 = "BBB", "HOLD", "SELL"))</f>
        <v>BUY</v>
      </c>
    </row>
    <row r="4" spans="1:7" x14ac:dyDescent="0.25">
      <c r="A4" s="14" t="str">
        <f>Company_Data!A4</f>
        <v>ArcelorMittal</v>
      </c>
      <c r="B4" s="25">
        <f>Company_Data!H4 - Carbon_Risk_Engine!J4</f>
        <v>4.6065000000000005</v>
      </c>
      <c r="C4" s="17">
        <f>IF(B4 &lt;= 0, "EBITDA Negative", (Company_Data!H4 - B4) / Company_Data!H4)</f>
        <v>0.29130769230769221</v>
      </c>
      <c r="D4" s="14">
        <f>(Company_Data!C4 * Assumptions!$B$8)/1000</f>
        <v>34.799999999999997</v>
      </c>
      <c r="E4" s="14" t="str">
        <f t="shared" si="0"/>
        <v>STABLE</v>
      </c>
      <c r="F4" s="14" t="str">
        <f t="shared" si="1"/>
        <v>BBB</v>
      </c>
      <c r="G4" s="14" t="str">
        <f t="shared" ref="G4:G11" si="2">IF(F4 = "AAA", "BUY", IF(F4 = "BBB", "HOLD", "SELL"))</f>
        <v>HOLD</v>
      </c>
    </row>
    <row r="5" spans="1:7" x14ac:dyDescent="0.25">
      <c r="A5" s="14" t="str">
        <f>Company_Data!A5</f>
        <v>Baowu Steel</v>
      </c>
      <c r="B5" s="25">
        <f>Company_Data!H5 - Carbon_Risk_Engine!J5</f>
        <v>7.548</v>
      </c>
      <c r="C5" s="17">
        <f>IF(B5 &lt;= 0, "EBITDA Negative", (Company_Data!H5 - B5) / Company_Data!H5)</f>
        <v>0.371</v>
      </c>
      <c r="D5" s="14">
        <f>(Company_Data!C5 * Assumptions!$B$8)/1000</f>
        <v>78</v>
      </c>
      <c r="E5" s="14" t="str">
        <f t="shared" si="0"/>
        <v>STABLE</v>
      </c>
      <c r="F5" s="14" t="str">
        <f t="shared" si="1"/>
        <v>CCC</v>
      </c>
      <c r="G5" s="14" t="str">
        <f t="shared" si="2"/>
        <v>SELL</v>
      </c>
    </row>
    <row r="6" spans="1:7" x14ac:dyDescent="0.25">
      <c r="A6" s="14" t="str">
        <f>Company_Data!A6</f>
        <v>POSCO</v>
      </c>
      <c r="B6" s="25">
        <f>Company_Data!H6 - Carbon_Risk_Engine!J6</f>
        <v>4.1059000000000001</v>
      </c>
      <c r="C6" s="17">
        <f>IF(B6 &lt;= 0, "EBITDA Negative", (Company_Data!H6 - B6) / Company_Data!H6)</f>
        <v>0.25347272727272724</v>
      </c>
      <c r="D6" s="14">
        <f>(Company_Data!C6 * Assumptions!$B$8)/1000</f>
        <v>25.2</v>
      </c>
      <c r="E6" s="14" t="str">
        <f t="shared" si="0"/>
        <v>STABLE</v>
      </c>
      <c r="F6" s="14" t="str">
        <f t="shared" si="1"/>
        <v>BBB</v>
      </c>
      <c r="G6" s="14" t="str">
        <f t="shared" si="2"/>
        <v>HOLD</v>
      </c>
    </row>
    <row r="7" spans="1:7" x14ac:dyDescent="0.25">
      <c r="A7" s="14" t="str">
        <f>Company_Data!A7</f>
        <v>Nippon Steel</v>
      </c>
      <c r="B7" s="25">
        <f>Company_Data!H7 - Carbon_Risk_Engine!J7</f>
        <v>3.5032000000000005</v>
      </c>
      <c r="C7" s="17">
        <f>IF(B7 &lt;= 0, "EBITDA Negative", (Company_Data!H7 - B7) / Company_Data!H7)</f>
        <v>0.2993599999999999</v>
      </c>
      <c r="D7" s="14">
        <f>(Company_Data!C7 * Assumptions!$B$8)/1000</f>
        <v>26.4</v>
      </c>
      <c r="E7" s="14" t="str">
        <f t="shared" si="0"/>
        <v>STABLE</v>
      </c>
      <c r="F7" s="14" t="str">
        <f t="shared" si="1"/>
        <v>BBB</v>
      </c>
      <c r="G7" s="14" t="str">
        <f t="shared" si="2"/>
        <v>HOLD</v>
      </c>
    </row>
    <row r="8" spans="1:7" x14ac:dyDescent="0.25">
      <c r="A8" s="14" t="str">
        <f>Company_Data!A8</f>
        <v>Tata Steel</v>
      </c>
      <c r="B8" s="25">
        <f>Company_Data!H8 - Carbon_Risk_Engine!J8</f>
        <v>1.9151199999999999</v>
      </c>
      <c r="C8" s="17">
        <f>IF(B8 &lt;= 0, "EBITDA Negative", (Company_Data!H8 - B8) / Company_Data!H8)</f>
        <v>0.38221935483870972</v>
      </c>
      <c r="D8" s="14">
        <f>(Company_Data!C8 * Assumptions!$B$8)/1000</f>
        <v>18.600000000000001</v>
      </c>
      <c r="E8" s="14" t="str">
        <f t="shared" si="0"/>
        <v>STABLE</v>
      </c>
      <c r="F8" s="14" t="str">
        <f t="shared" si="1"/>
        <v>CCC</v>
      </c>
      <c r="G8" s="14" t="str">
        <f t="shared" si="2"/>
        <v>SELL</v>
      </c>
    </row>
    <row r="9" spans="1:7" x14ac:dyDescent="0.25">
      <c r="A9" s="14" t="str">
        <f>Company_Data!A9</f>
        <v>JSW Steel</v>
      </c>
      <c r="B9" s="25">
        <f>Company_Data!H9 - Carbon_Risk_Engine!J9</f>
        <v>1.7078000000000002</v>
      </c>
      <c r="C9" s="17">
        <f>IF(B9 &lt;= 0, "EBITDA Negative", (Company_Data!H9 - B9) / Company_Data!H9)</f>
        <v>0.39007142857142846</v>
      </c>
      <c r="D9" s="14">
        <f>(Company_Data!C9 * Assumptions!$B$8)/1000</f>
        <v>16.8</v>
      </c>
      <c r="E9" s="14" t="str">
        <f t="shared" si="0"/>
        <v>STABLE</v>
      </c>
      <c r="F9" s="14" t="str">
        <f t="shared" si="1"/>
        <v>CCC</v>
      </c>
      <c r="G9" s="14" t="str">
        <f t="shared" si="2"/>
        <v>SELL</v>
      </c>
    </row>
    <row r="10" spans="1:7" x14ac:dyDescent="0.25">
      <c r="A10" s="14" t="str">
        <f>Company_Data!A10</f>
        <v>Thyssenkrupp</v>
      </c>
      <c r="B10" s="25">
        <f>Company_Data!H10 - Carbon_Risk_Engine!J10</f>
        <v>1.4264000000000001</v>
      </c>
      <c r="C10" s="17">
        <f>IF(B10 &lt;= 0, "EBITDA Negative", (Company_Data!H10 - B10) / Company_Data!H10)</f>
        <v>0.42943999999999993</v>
      </c>
      <c r="D10" s="14">
        <f>(Company_Data!C10 * Assumptions!$B$8)/1000</f>
        <v>6.6</v>
      </c>
      <c r="E10" s="14" t="str">
        <f t="shared" si="0"/>
        <v>AT RISK</v>
      </c>
      <c r="F10" s="14" t="str">
        <f t="shared" si="1"/>
        <v>CCC</v>
      </c>
      <c r="G10" s="14" t="str">
        <f t="shared" si="2"/>
        <v>SELL</v>
      </c>
    </row>
    <row r="11" spans="1:7" x14ac:dyDescent="0.25">
      <c r="A11" s="14" t="str">
        <f>Company_Data!A11</f>
        <v>Voestalpine</v>
      </c>
      <c r="B11" s="25">
        <f>Company_Data!H11 - Carbon_Risk_Engine!J11</f>
        <v>1.9172000000000002</v>
      </c>
      <c r="C11" s="17">
        <f>IF(B11 &lt;= 0, "EBITDA Negative", (Company_Data!H11 - B11) / Company_Data!H11)</f>
        <v>0.12854545454545452</v>
      </c>
      <c r="D11" s="14">
        <f>(Company_Data!C11 * Assumptions!$B$8)/1000</f>
        <v>4.2</v>
      </c>
      <c r="E11" s="14" t="str">
        <f t="shared" si="0"/>
        <v>LEADER</v>
      </c>
      <c r="F11" s="14" t="str">
        <f t="shared" si="1"/>
        <v>AAA</v>
      </c>
      <c r="G11" s="14" t="str">
        <f t="shared" si="2"/>
        <v>BUY</v>
      </c>
    </row>
  </sheetData>
  <conditionalFormatting sqref="G2:G11">
    <cfRule type="uniqueValues" dxfId="6" priority="4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67D3B49-5A97-491A-A510-E2E375629AE3}">
            <xm:f>NOT(ISERROR(SEARCH($G$2,G2)))</xm:f>
            <xm:f>$G$2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G2:G11</xm:sqref>
        </x14:conditionalFormatting>
        <x14:conditionalFormatting xmlns:xm="http://schemas.microsoft.com/office/excel/2006/main">
          <x14:cfRule type="containsText" priority="2" operator="containsText" id="{7ABF117A-C97F-4656-BB1D-0F8641FB302B}">
            <xm:f>NOT(ISERROR(SEARCH($G$4,G4)))</xm:f>
            <xm:f>$G$4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G4:G10</xm:sqref>
        </x14:conditionalFormatting>
        <x14:conditionalFormatting xmlns:xm="http://schemas.microsoft.com/office/excel/2006/main">
          <x14:cfRule type="containsText" priority="1" operator="containsText" id="{C12E981C-BEC1-43FF-9401-F1368DE3138C}">
            <xm:f>NOT(ISERROR(SEARCH($G$5,G5)))</xm:f>
            <xm:f>$G$5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G5:G10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workbookViewId="0">
      <selection activeCell="P15" sqref="P15"/>
    </sheetView>
  </sheetViews>
  <sheetFormatPr defaultRowHeight="15" x14ac:dyDescent="0.25"/>
  <cols>
    <col min="1" max="1" width="14.5703125" bestFit="1" customWidth="1"/>
    <col min="2" max="2" width="20.140625" bestFit="1" customWidth="1"/>
    <col min="3" max="3" width="24.140625" style="22" bestFit="1" customWidth="1"/>
    <col min="4" max="4" width="27.140625" style="22" bestFit="1" customWidth="1"/>
    <col min="5" max="5" width="23.140625" style="22" bestFit="1" customWidth="1"/>
    <col min="6" max="6" width="26.28515625" style="22" bestFit="1" customWidth="1"/>
    <col min="7" max="7" width="27.28515625" style="22" bestFit="1" customWidth="1"/>
    <col min="8" max="8" width="26.140625" style="22" bestFit="1" customWidth="1"/>
    <col min="9" max="9" width="23.7109375" style="22" bestFit="1" customWidth="1"/>
    <col min="10" max="10" width="31.42578125" style="22" bestFit="1" customWidth="1"/>
  </cols>
  <sheetData>
    <row r="1" spans="1:10" ht="15.75" x14ac:dyDescent="0.25">
      <c r="A1" s="15" t="s">
        <v>30</v>
      </c>
      <c r="B1" s="15" t="s">
        <v>31</v>
      </c>
      <c r="C1" s="20" t="s">
        <v>59</v>
      </c>
      <c r="D1" s="20" t="s">
        <v>60</v>
      </c>
      <c r="E1" s="20" t="s">
        <v>55</v>
      </c>
      <c r="F1" s="20" t="s">
        <v>96</v>
      </c>
      <c r="G1" s="20" t="s">
        <v>56</v>
      </c>
      <c r="H1" s="20" t="s">
        <v>57</v>
      </c>
      <c r="I1" s="20" t="s">
        <v>61</v>
      </c>
      <c r="J1" s="20" t="s">
        <v>62</v>
      </c>
    </row>
    <row r="2" spans="1:10" x14ac:dyDescent="0.25">
      <c r="A2" s="13" t="str">
        <f>Company_Data!A2</f>
        <v>Nucor</v>
      </c>
      <c r="B2" s="13">
        <f>Company_Data!C2 * Company_Data!F2</f>
        <v>10.75</v>
      </c>
      <c r="C2" s="21">
        <f>B2 * Assumptions!$B$2</f>
        <v>752.5</v>
      </c>
      <c r="D2" s="21">
        <f>C2 * Assumptions!$B$5</f>
        <v>301</v>
      </c>
      <c r="E2" s="21">
        <f>MAX(0, (Company_Data!F2 - Assumptions!$B$7) * Company_Data!I2 * Assumptions!$B$4) / 1000</f>
        <v>0</v>
      </c>
      <c r="F2" s="21">
        <f t="shared" ref="F2:F11" si="0">(C2 - D2) + E2</f>
        <v>451.5</v>
      </c>
      <c r="G2" s="21">
        <f>(C2 - D2) / 1000</f>
        <v>0.45150000000000001</v>
      </c>
      <c r="H2" s="21">
        <f>E2 + G2</f>
        <v>0.45150000000000001</v>
      </c>
      <c r="I2" s="21">
        <f>C2/ 1000 * 0.4</f>
        <v>0.30099999999999999</v>
      </c>
      <c r="J2" s="21">
        <f>H2 - I2</f>
        <v>0.15050000000000002</v>
      </c>
    </row>
    <row r="3" spans="1:10" x14ac:dyDescent="0.25">
      <c r="A3" s="13" t="str">
        <f>Company_Data!A3</f>
        <v>Steel Dynamics</v>
      </c>
      <c r="B3" s="13">
        <f>Company_Data!C3 * Company_Data!F3</f>
        <v>6.5</v>
      </c>
      <c r="C3" s="21">
        <f>B3 * Assumptions!$B$2</f>
        <v>455</v>
      </c>
      <c r="D3" s="21">
        <f>C3 * Assumptions!$B$5</f>
        <v>182</v>
      </c>
      <c r="E3" s="21">
        <f>MAX(0, (Company_Data!F3 - Assumptions!$B$7) * Company_Data!I3 * Assumptions!$B$4) / 1000</f>
        <v>0</v>
      </c>
      <c r="F3" s="21">
        <f t="shared" si="0"/>
        <v>273</v>
      </c>
      <c r="G3" s="21">
        <f t="shared" ref="G3:G11" si="1">(C3 - D3) / 1000</f>
        <v>0.27300000000000002</v>
      </c>
      <c r="H3" s="21">
        <f t="shared" ref="H3:H11" si="2">E3 + G3</f>
        <v>0.27300000000000002</v>
      </c>
      <c r="I3" s="21">
        <f t="shared" ref="I3:I11" si="3">C3/ 1000 * 0.4</f>
        <v>0.18200000000000002</v>
      </c>
      <c r="J3" s="21">
        <f t="shared" ref="J3:J11" si="4">H3 - I3</f>
        <v>9.0999999999999998E-2</v>
      </c>
    </row>
    <row r="4" spans="1:10" x14ac:dyDescent="0.25">
      <c r="A4" s="13" t="str">
        <f>Company_Data!A4</f>
        <v>ArcelorMittal</v>
      </c>
      <c r="B4" s="13">
        <f>Company_Data!C4 * Company_Data!F4</f>
        <v>101.5</v>
      </c>
      <c r="C4" s="21">
        <f>B4 * Assumptions!$B$2</f>
        <v>7105</v>
      </c>
      <c r="D4" s="21">
        <f>C4 * Assumptions!$B$5</f>
        <v>2842</v>
      </c>
      <c r="E4" s="21">
        <f>MAX(0, (Company_Data!F4 - Assumptions!$B$7) * Company_Data!I4 * Assumptions!$B$4) / 1000</f>
        <v>0.4725000000000002</v>
      </c>
      <c r="F4" s="21">
        <f t="shared" si="0"/>
        <v>4263.4724999999999</v>
      </c>
      <c r="G4" s="21">
        <f t="shared" si="1"/>
        <v>4.2629999999999999</v>
      </c>
      <c r="H4" s="21">
        <f t="shared" si="2"/>
        <v>4.7355</v>
      </c>
      <c r="I4" s="21">
        <f t="shared" si="3"/>
        <v>2.8420000000000005</v>
      </c>
      <c r="J4" s="21">
        <f t="shared" si="4"/>
        <v>1.8934999999999995</v>
      </c>
    </row>
    <row r="5" spans="1:10" x14ac:dyDescent="0.25">
      <c r="A5" s="13" t="str">
        <f>Company_Data!A5</f>
        <v>Baowu Steel</v>
      </c>
      <c r="B5" s="13">
        <f>Company_Data!C5 * Company_Data!F5</f>
        <v>273</v>
      </c>
      <c r="C5" s="21">
        <f>B5 * Assumptions!$B$2</f>
        <v>19110</v>
      </c>
      <c r="D5" s="21">
        <f>C5 * Assumptions!$B$5</f>
        <v>7644</v>
      </c>
      <c r="E5" s="21">
        <f>MAX(0, (Company_Data!F5 - Assumptions!$B$7) * Company_Data!I5 * Assumptions!$B$4) / 1000</f>
        <v>0.63000000000000012</v>
      </c>
      <c r="F5" s="21">
        <f t="shared" si="0"/>
        <v>11466.63</v>
      </c>
      <c r="G5" s="21">
        <f t="shared" si="1"/>
        <v>11.465999999999999</v>
      </c>
      <c r="H5" s="21">
        <f t="shared" si="2"/>
        <v>12.096</v>
      </c>
      <c r="I5" s="21">
        <f t="shared" si="3"/>
        <v>7.6440000000000001</v>
      </c>
      <c r="J5" s="21">
        <f t="shared" si="4"/>
        <v>4.452</v>
      </c>
    </row>
    <row r="6" spans="1:10" x14ac:dyDescent="0.25">
      <c r="A6" s="13" t="str">
        <f>Company_Data!A6</f>
        <v>POSCO</v>
      </c>
      <c r="B6" s="13">
        <f>Company_Data!C6 * Company_Data!F6</f>
        <v>81.899999999999991</v>
      </c>
      <c r="C6" s="21">
        <f>B6 * Assumptions!$B$2</f>
        <v>5732.9999999999991</v>
      </c>
      <c r="D6" s="21">
        <f>C6 * Assumptions!$B$5</f>
        <v>2293.1999999999998</v>
      </c>
      <c r="E6" s="21">
        <f>MAX(0, (Company_Data!F6 - Assumptions!$B$7) * Company_Data!I6 * Assumptions!$B$4) / 1000</f>
        <v>0.2475</v>
      </c>
      <c r="F6" s="21">
        <f t="shared" si="0"/>
        <v>3440.0474999999992</v>
      </c>
      <c r="G6" s="21">
        <f t="shared" si="1"/>
        <v>3.4397999999999991</v>
      </c>
      <c r="H6" s="21">
        <f t="shared" si="2"/>
        <v>3.6872999999999991</v>
      </c>
      <c r="I6" s="21">
        <f t="shared" si="3"/>
        <v>2.2931999999999997</v>
      </c>
      <c r="J6" s="21">
        <f t="shared" si="4"/>
        <v>1.3940999999999995</v>
      </c>
    </row>
    <row r="7" spans="1:10" x14ac:dyDescent="0.25">
      <c r="A7" s="13" t="str">
        <f>Company_Data!A7</f>
        <v>Nippon Steel</v>
      </c>
      <c r="B7" s="13">
        <f>Company_Data!C7 * Company_Data!F7</f>
        <v>90.199999999999989</v>
      </c>
      <c r="C7" s="21">
        <f>B7 * Assumptions!$B$2</f>
        <v>6313.9999999999991</v>
      </c>
      <c r="D7" s="21">
        <f>C7 * Assumptions!$B$5</f>
        <v>2525.6</v>
      </c>
      <c r="E7" s="21">
        <f>MAX(0, (Company_Data!F7 - Assumptions!$B$7) * Company_Data!I7 * Assumptions!$B$4) / 1000</f>
        <v>0.23399999999999996</v>
      </c>
      <c r="F7" s="21">
        <f t="shared" si="0"/>
        <v>3788.6339999999991</v>
      </c>
      <c r="G7" s="21">
        <f t="shared" si="1"/>
        <v>3.7883999999999993</v>
      </c>
      <c r="H7" s="21">
        <f t="shared" si="2"/>
        <v>4.0223999999999993</v>
      </c>
      <c r="I7" s="21">
        <f t="shared" si="3"/>
        <v>2.5255999999999998</v>
      </c>
      <c r="J7" s="21">
        <f t="shared" si="4"/>
        <v>1.4967999999999995</v>
      </c>
    </row>
    <row r="8" spans="1:10" x14ac:dyDescent="0.25">
      <c r="A8" s="13" t="str">
        <f>Company_Data!A8</f>
        <v>Tata Steel</v>
      </c>
      <c r="B8" s="13">
        <f>Company_Data!C8 * Company_Data!F8</f>
        <v>68.820000000000007</v>
      </c>
      <c r="C8" s="21">
        <f>B8 * Assumptions!$B$2</f>
        <v>4817.4000000000005</v>
      </c>
      <c r="D8" s="21">
        <f>C8 * Assumptions!$B$5</f>
        <v>1926.9600000000003</v>
      </c>
      <c r="E8" s="21">
        <f>MAX(0, (Company_Data!F8 - Assumptions!$B$7) * Company_Data!I8 * Assumptions!$B$4) / 1000</f>
        <v>0.2214000000000001</v>
      </c>
      <c r="F8" s="21">
        <f t="shared" si="0"/>
        <v>2890.6614000000004</v>
      </c>
      <c r="G8" s="21">
        <f t="shared" si="1"/>
        <v>2.8904400000000003</v>
      </c>
      <c r="H8" s="21">
        <f t="shared" si="2"/>
        <v>3.1118400000000004</v>
      </c>
      <c r="I8" s="21">
        <f t="shared" si="3"/>
        <v>1.9269600000000002</v>
      </c>
      <c r="J8" s="21">
        <f t="shared" si="4"/>
        <v>1.1848800000000002</v>
      </c>
    </row>
    <row r="9" spans="1:10" x14ac:dyDescent="0.25">
      <c r="A9" s="13" t="str">
        <f>Company_Data!A9</f>
        <v>JSW Steel</v>
      </c>
      <c r="B9" s="13">
        <f>Company_Data!C9 * Company_Data!F9</f>
        <v>65.8</v>
      </c>
      <c r="C9" s="21">
        <f>B9 * Assumptions!$B$2</f>
        <v>4606</v>
      </c>
      <c r="D9" s="21">
        <f>C9 * Assumptions!$B$5</f>
        <v>1842.4</v>
      </c>
      <c r="E9" s="21">
        <f>MAX(0, (Company_Data!F9 - Assumptions!$B$7) * Company_Data!I9 * Assumptions!$B$4) / 1000</f>
        <v>0.17100000000000004</v>
      </c>
      <c r="F9" s="21">
        <f t="shared" si="0"/>
        <v>2763.7709999999997</v>
      </c>
      <c r="G9" s="21">
        <f t="shared" si="1"/>
        <v>2.7635999999999998</v>
      </c>
      <c r="H9" s="21">
        <f t="shared" si="2"/>
        <v>2.9345999999999997</v>
      </c>
      <c r="I9" s="21">
        <f t="shared" si="3"/>
        <v>1.8424</v>
      </c>
      <c r="J9" s="21">
        <f t="shared" si="4"/>
        <v>1.0921999999999996</v>
      </c>
    </row>
    <row r="10" spans="1:10" x14ac:dyDescent="0.25">
      <c r="A10" s="13" t="str">
        <f>Company_Data!A10</f>
        <v>Thyssenkrupp</v>
      </c>
      <c r="B10" s="13">
        <f>Company_Data!C10 * Company_Data!F10</f>
        <v>23.65</v>
      </c>
      <c r="C10" s="21">
        <f>B10 * Assumptions!$B$2</f>
        <v>1655.5</v>
      </c>
      <c r="D10" s="21">
        <f>C10 * Assumptions!$B$5</f>
        <v>662.2</v>
      </c>
      <c r="E10" s="21">
        <f>MAX(0, (Company_Data!F10 - Assumptions!$B$7) * Company_Data!I10 * Assumptions!$B$4) / 1000</f>
        <v>0.74250000000000005</v>
      </c>
      <c r="F10" s="21">
        <f t="shared" si="0"/>
        <v>994.0424999999999</v>
      </c>
      <c r="G10" s="21">
        <f t="shared" si="1"/>
        <v>0.99329999999999996</v>
      </c>
      <c r="H10" s="21">
        <f t="shared" si="2"/>
        <v>1.7358</v>
      </c>
      <c r="I10" s="21">
        <f t="shared" si="3"/>
        <v>0.66220000000000001</v>
      </c>
      <c r="J10" s="21">
        <f t="shared" si="4"/>
        <v>1.0735999999999999</v>
      </c>
    </row>
    <row r="11" spans="1:10" x14ac:dyDescent="0.25">
      <c r="A11" s="13" t="str">
        <f>Company_Data!A11</f>
        <v>Voestalpine</v>
      </c>
      <c r="B11" s="13">
        <f>Company_Data!C11 * Company_Data!F11</f>
        <v>11.200000000000001</v>
      </c>
      <c r="C11" s="21">
        <f>B11 * Assumptions!$B$2</f>
        <v>784.00000000000011</v>
      </c>
      <c r="D11" s="21">
        <f>C11 * Assumptions!$B$5</f>
        <v>313.60000000000008</v>
      </c>
      <c r="E11" s="21">
        <f>MAX(0, (Company_Data!F11 - Assumptions!$B$7) * Company_Data!I11 * Assumptions!$B$4) / 1000</f>
        <v>0.12600000000000011</v>
      </c>
      <c r="F11" s="21">
        <f t="shared" si="0"/>
        <v>470.52600000000001</v>
      </c>
      <c r="G11" s="21">
        <f t="shared" si="1"/>
        <v>0.47040000000000004</v>
      </c>
      <c r="H11" s="21">
        <f t="shared" si="2"/>
        <v>0.59640000000000015</v>
      </c>
      <c r="I11" s="21">
        <f t="shared" si="3"/>
        <v>0.3136000000000001</v>
      </c>
      <c r="J11" s="21">
        <f t="shared" si="4"/>
        <v>0.28280000000000005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workbookViewId="0">
      <selection activeCell="D20" sqref="D20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7" bestFit="1" customWidth="1"/>
    <col min="4" max="4" width="13.140625" style="1" bestFit="1" customWidth="1"/>
    <col min="5" max="5" width="16.42578125" style="1" bestFit="1" customWidth="1"/>
    <col min="6" max="6" width="32.5703125" bestFit="1" customWidth="1"/>
    <col min="7" max="7" width="14" style="3" bestFit="1" customWidth="1"/>
    <col min="8" max="8" width="18.28515625" style="3" bestFit="1" customWidth="1"/>
    <col min="9" max="9" width="16.42578125" bestFit="1" customWidth="1"/>
  </cols>
  <sheetData>
    <row r="1" spans="1:9" ht="15.75" x14ac:dyDescent="0.25">
      <c r="A1" s="15" t="s">
        <v>30</v>
      </c>
      <c r="B1" s="15" t="s">
        <v>29</v>
      </c>
      <c r="C1" s="15" t="s">
        <v>28</v>
      </c>
      <c r="D1" s="26" t="s">
        <v>27</v>
      </c>
      <c r="E1" s="26" t="s">
        <v>26</v>
      </c>
      <c r="F1" s="15" t="s">
        <v>25</v>
      </c>
      <c r="G1" s="23" t="s">
        <v>24</v>
      </c>
      <c r="H1" s="23" t="s">
        <v>95</v>
      </c>
      <c r="I1" s="15" t="s">
        <v>23</v>
      </c>
    </row>
    <row r="2" spans="1:9" x14ac:dyDescent="0.25">
      <c r="A2" s="14" t="s">
        <v>22</v>
      </c>
      <c r="B2" s="14" t="s">
        <v>20</v>
      </c>
      <c r="C2" s="14">
        <v>25</v>
      </c>
      <c r="D2" s="27">
        <v>1</v>
      </c>
      <c r="E2" s="27">
        <v>0</v>
      </c>
      <c r="F2" s="14">
        <v>0.43</v>
      </c>
      <c r="G2" s="25">
        <v>35</v>
      </c>
      <c r="H2" s="25">
        <v>5.3</v>
      </c>
      <c r="I2" s="14">
        <v>0.5</v>
      </c>
    </row>
    <row r="3" spans="1:9" x14ac:dyDescent="0.25">
      <c r="A3" s="14" t="s">
        <v>21</v>
      </c>
      <c r="B3" s="14" t="s">
        <v>20</v>
      </c>
      <c r="C3" s="14">
        <v>13</v>
      </c>
      <c r="D3" s="27">
        <v>1</v>
      </c>
      <c r="E3" s="27">
        <v>0</v>
      </c>
      <c r="F3" s="14">
        <v>0.5</v>
      </c>
      <c r="G3" s="25">
        <v>18</v>
      </c>
      <c r="H3" s="25">
        <v>3.5</v>
      </c>
      <c r="I3" s="14">
        <v>0.2</v>
      </c>
    </row>
    <row r="4" spans="1:9" x14ac:dyDescent="0.25">
      <c r="A4" s="14" t="s">
        <v>19</v>
      </c>
      <c r="B4" s="14" t="s">
        <v>18</v>
      </c>
      <c r="C4" s="14">
        <v>58</v>
      </c>
      <c r="D4" s="27">
        <v>0.2</v>
      </c>
      <c r="E4" s="27">
        <v>0.8</v>
      </c>
      <c r="F4" s="14">
        <v>1.75</v>
      </c>
      <c r="G4" s="25">
        <v>68</v>
      </c>
      <c r="H4" s="25">
        <v>6.5</v>
      </c>
      <c r="I4" s="14">
        <v>15</v>
      </c>
    </row>
    <row r="5" spans="1:9" x14ac:dyDescent="0.25">
      <c r="A5" s="14" t="s">
        <v>17</v>
      </c>
      <c r="B5" s="14" t="s">
        <v>16</v>
      </c>
      <c r="C5" s="14">
        <v>130</v>
      </c>
      <c r="D5" s="27">
        <v>0.1</v>
      </c>
      <c r="E5" s="27">
        <v>0.9</v>
      </c>
      <c r="F5" s="14">
        <v>2.1</v>
      </c>
      <c r="G5" s="25">
        <v>150</v>
      </c>
      <c r="H5" s="25">
        <v>12</v>
      </c>
      <c r="I5" s="14">
        <v>10</v>
      </c>
    </row>
    <row r="6" spans="1:9" x14ac:dyDescent="0.25">
      <c r="A6" s="14" t="s">
        <v>15</v>
      </c>
      <c r="B6" s="14" t="s">
        <v>14</v>
      </c>
      <c r="C6" s="14">
        <v>42</v>
      </c>
      <c r="D6" s="27">
        <v>0.15</v>
      </c>
      <c r="E6" s="27">
        <v>0.85</v>
      </c>
      <c r="F6" s="14">
        <v>1.95</v>
      </c>
      <c r="G6" s="25">
        <v>60</v>
      </c>
      <c r="H6" s="25">
        <v>5.5</v>
      </c>
      <c r="I6" s="14">
        <v>5</v>
      </c>
    </row>
    <row r="7" spans="1:9" x14ac:dyDescent="0.25">
      <c r="A7" s="14" t="s">
        <v>13</v>
      </c>
      <c r="B7" s="14" t="s">
        <v>12</v>
      </c>
      <c r="C7" s="14">
        <v>44</v>
      </c>
      <c r="D7" s="27">
        <v>0.1</v>
      </c>
      <c r="E7" s="27">
        <v>0.9</v>
      </c>
      <c r="F7" s="14">
        <v>2.0499999999999998</v>
      </c>
      <c r="G7" s="25">
        <v>55</v>
      </c>
      <c r="H7" s="25">
        <v>5</v>
      </c>
      <c r="I7" s="14">
        <v>4</v>
      </c>
    </row>
    <row r="8" spans="1:9" x14ac:dyDescent="0.25">
      <c r="A8" s="14" t="s">
        <v>11</v>
      </c>
      <c r="B8" s="14" t="s">
        <v>9</v>
      </c>
      <c r="C8" s="14">
        <v>31</v>
      </c>
      <c r="D8" s="27">
        <v>0.1</v>
      </c>
      <c r="E8" s="27">
        <v>0.9</v>
      </c>
      <c r="F8" s="14">
        <v>2.2200000000000002</v>
      </c>
      <c r="G8" s="25">
        <v>26</v>
      </c>
      <c r="H8" s="25">
        <v>3.1</v>
      </c>
      <c r="I8" s="14">
        <v>3</v>
      </c>
    </row>
    <row r="9" spans="1:9" x14ac:dyDescent="0.25">
      <c r="A9" s="14" t="s">
        <v>10</v>
      </c>
      <c r="B9" s="14" t="s">
        <v>9</v>
      </c>
      <c r="C9" s="14">
        <v>28</v>
      </c>
      <c r="D9" s="27">
        <v>0.15</v>
      </c>
      <c r="E9" s="27">
        <v>0.85</v>
      </c>
      <c r="F9" s="14">
        <v>2.35</v>
      </c>
      <c r="G9" s="25">
        <v>22</v>
      </c>
      <c r="H9" s="25">
        <v>2.8</v>
      </c>
      <c r="I9" s="14">
        <v>2</v>
      </c>
    </row>
    <row r="10" spans="1:9" x14ac:dyDescent="0.25">
      <c r="A10" s="14" t="s">
        <v>8</v>
      </c>
      <c r="B10" s="14" t="s">
        <v>7</v>
      </c>
      <c r="C10" s="14">
        <v>11</v>
      </c>
      <c r="D10" s="27">
        <v>0.05</v>
      </c>
      <c r="E10" s="27">
        <v>0.95</v>
      </c>
      <c r="F10" s="14">
        <v>2.15</v>
      </c>
      <c r="G10" s="25">
        <v>40</v>
      </c>
      <c r="H10" s="25">
        <v>2.5</v>
      </c>
      <c r="I10" s="14">
        <v>11</v>
      </c>
    </row>
    <row r="11" spans="1:9" x14ac:dyDescent="0.25">
      <c r="A11" s="14" t="s">
        <v>6</v>
      </c>
      <c r="B11" s="14" t="s">
        <v>5</v>
      </c>
      <c r="C11" s="14">
        <v>7</v>
      </c>
      <c r="D11" s="27">
        <v>0.1</v>
      </c>
      <c r="E11" s="27">
        <v>0.9</v>
      </c>
      <c r="F11" s="14">
        <v>1.6</v>
      </c>
      <c r="G11" s="25">
        <v>18</v>
      </c>
      <c r="H11" s="25">
        <v>2.2000000000000002</v>
      </c>
      <c r="I11" s="1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selection activeCell="G15" sqref="G15"/>
    </sheetView>
  </sheetViews>
  <sheetFormatPr defaultRowHeight="15" x14ac:dyDescent="0.25"/>
  <cols>
    <col min="1" max="1" width="19.5703125" bestFit="1" customWidth="1"/>
    <col min="2" max="2" width="10.42578125" bestFit="1" customWidth="1"/>
    <col min="3" max="3" width="9.7109375" bestFit="1" customWidth="1"/>
    <col min="5" max="5" width="18.7109375" bestFit="1" customWidth="1"/>
    <col min="6" max="6" width="25.140625" bestFit="1" customWidth="1"/>
    <col min="7" max="7" width="35.85546875" bestFit="1" customWidth="1"/>
    <col min="11" max="11" width="16.5703125" bestFit="1" customWidth="1"/>
    <col min="12" max="12" width="23" bestFit="1" customWidth="1"/>
    <col min="13" max="13" width="35.85546875" bestFit="1" customWidth="1"/>
  </cols>
  <sheetData>
    <row r="1" spans="1:7" ht="15.75" x14ac:dyDescent="0.25">
      <c r="A1" s="7" t="s">
        <v>4</v>
      </c>
      <c r="B1" s="6" t="s">
        <v>94</v>
      </c>
      <c r="E1" s="12" t="s">
        <v>38</v>
      </c>
      <c r="F1" s="12" t="s">
        <v>39</v>
      </c>
      <c r="G1" s="12" t="s">
        <v>40</v>
      </c>
    </row>
    <row r="2" spans="1:7" x14ac:dyDescent="0.25">
      <c r="A2" s="8" t="s">
        <v>35</v>
      </c>
      <c r="B2" s="9">
        <v>70</v>
      </c>
      <c r="E2" s="19" t="s">
        <v>41</v>
      </c>
      <c r="F2" s="10" t="s">
        <v>42</v>
      </c>
      <c r="G2" s="8" t="s">
        <v>47</v>
      </c>
    </row>
    <row r="3" spans="1:7" x14ac:dyDescent="0.25">
      <c r="A3" s="8" t="s">
        <v>89</v>
      </c>
      <c r="B3" s="9">
        <v>100</v>
      </c>
      <c r="E3" s="19" t="s">
        <v>48</v>
      </c>
      <c r="F3" s="10" t="s">
        <v>43</v>
      </c>
      <c r="G3" s="8" t="s">
        <v>44</v>
      </c>
    </row>
    <row r="4" spans="1:7" x14ac:dyDescent="0.25">
      <c r="A4" s="8" t="s">
        <v>3</v>
      </c>
      <c r="B4" s="9">
        <v>90</v>
      </c>
      <c r="E4" s="19" t="s">
        <v>49</v>
      </c>
      <c r="F4" s="10" t="s">
        <v>45</v>
      </c>
      <c r="G4" s="8" t="s">
        <v>50</v>
      </c>
    </row>
    <row r="5" spans="1:7" x14ac:dyDescent="0.25">
      <c r="A5" s="8" t="s">
        <v>2</v>
      </c>
      <c r="B5" s="10">
        <v>0.4</v>
      </c>
      <c r="E5" s="19" t="s">
        <v>51</v>
      </c>
      <c r="F5" s="10" t="s">
        <v>46</v>
      </c>
      <c r="G5" s="8" t="s">
        <v>52</v>
      </c>
    </row>
    <row r="6" spans="1:7" x14ac:dyDescent="0.25">
      <c r="A6" s="8" t="s">
        <v>69</v>
      </c>
      <c r="B6" s="10">
        <v>0.1</v>
      </c>
    </row>
    <row r="7" spans="1:7" x14ac:dyDescent="0.25">
      <c r="A7" s="8" t="s">
        <v>0</v>
      </c>
      <c r="B7" s="10">
        <v>1.4</v>
      </c>
    </row>
    <row r="8" spans="1:7" x14ac:dyDescent="0.25">
      <c r="A8" s="8" t="s">
        <v>1</v>
      </c>
      <c r="B8" s="9">
        <v>600</v>
      </c>
    </row>
    <row r="9" spans="1:7" x14ac:dyDescent="0.25">
      <c r="A9" s="8" t="s">
        <v>54</v>
      </c>
      <c r="B9" s="11">
        <v>46112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DashboardData</vt:lpstr>
      <vt:lpstr>README</vt:lpstr>
      <vt:lpstr>Investment Recommendation</vt:lpstr>
      <vt:lpstr>Stress_Scenario</vt:lpstr>
      <vt:lpstr>Valuation_Impact</vt:lpstr>
      <vt:lpstr>Carbon_Risk_Engine</vt:lpstr>
      <vt:lpstr>Company_Data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2026-03-19T19:03:01Z</dcterms:created>
  <dcterms:modified xsi:type="dcterms:W3CDTF">2026-03-22T16:20:17Z</dcterms:modified>
</cp:coreProperties>
</file>